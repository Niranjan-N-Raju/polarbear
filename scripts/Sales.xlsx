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ctober" sheetId="1" r:id="rId4"/>
    <sheet state="visible" name="November" sheetId="2" r:id="rId5"/>
    <sheet state="visible" name="December" sheetId="3" r:id="rId6"/>
  </sheets>
  <definedNames/>
  <calcPr/>
  <extLst>
    <ext uri="GoogleSheetsCustomDataVersion2">
      <go:sheetsCustomData xmlns:go="http://customooxmlschemas.google.com/" r:id="rId7" roundtripDataChecksum="3wMOD2fv0awYhT6lXntsC+EH50BVkt9hpvQvS1I/O4s="/>
    </ext>
  </extLst>
</workbook>
</file>

<file path=xl/sharedStrings.xml><?xml version="1.0" encoding="utf-8"?>
<sst xmlns="http://schemas.openxmlformats.org/spreadsheetml/2006/main" count="260" uniqueCount="95">
  <si>
    <t>Date</t>
  </si>
  <si>
    <t>Sale</t>
  </si>
  <si>
    <t>Swiggy/Zomato</t>
  </si>
  <si>
    <t>Paytm</t>
  </si>
  <si>
    <t>Cash</t>
  </si>
  <si>
    <t>Handover cash</t>
  </si>
  <si>
    <t>Expenses</t>
  </si>
  <si>
    <t>Charges</t>
  </si>
  <si>
    <t>Total</t>
  </si>
  <si>
    <t>Comments</t>
  </si>
  <si>
    <t xml:space="preserve">19th </t>
  </si>
  <si>
    <t>1st</t>
  </si>
  <si>
    <t>Fine</t>
  </si>
  <si>
    <t>20th</t>
  </si>
  <si>
    <t>21st</t>
  </si>
  <si>
    <t>1 rupee extra</t>
  </si>
  <si>
    <t>2nd</t>
  </si>
  <si>
    <t>22nd</t>
  </si>
  <si>
    <t>Everything fine</t>
  </si>
  <si>
    <t>23rd</t>
  </si>
  <si>
    <t>3rd</t>
  </si>
  <si>
    <t>Less because of online payment</t>
  </si>
  <si>
    <t>4th</t>
  </si>
  <si>
    <t>24th</t>
  </si>
  <si>
    <t xml:space="preserve">Everything fine </t>
  </si>
  <si>
    <t>More because of yesterday's issue</t>
  </si>
  <si>
    <t>5th</t>
  </si>
  <si>
    <t>25th</t>
  </si>
  <si>
    <t>26th</t>
  </si>
  <si>
    <t>104 short is there</t>
  </si>
  <si>
    <t>used cash for stock</t>
  </si>
  <si>
    <t>6th</t>
  </si>
  <si>
    <t>27th</t>
  </si>
  <si>
    <t>104 extra from yesterday</t>
  </si>
  <si>
    <t>used for training house rent</t>
  </si>
  <si>
    <t>7th</t>
  </si>
  <si>
    <t>28th</t>
  </si>
  <si>
    <t>used for food for hindi boys</t>
  </si>
  <si>
    <t>8th</t>
  </si>
  <si>
    <t>29th</t>
  </si>
  <si>
    <t>1 rs extra</t>
  </si>
  <si>
    <t>30th</t>
  </si>
  <si>
    <t>9th</t>
  </si>
  <si>
    <t>Cash to account</t>
  </si>
  <si>
    <t>31st</t>
  </si>
  <si>
    <t>10th</t>
  </si>
  <si>
    <t>11th</t>
  </si>
  <si>
    <t>12th</t>
  </si>
  <si>
    <t>1 rs less</t>
  </si>
  <si>
    <t>13th</t>
  </si>
  <si>
    <t>14th</t>
  </si>
  <si>
    <t>15th</t>
  </si>
  <si>
    <t>500 diff because of coupon</t>
  </si>
  <si>
    <t>16th</t>
  </si>
  <si>
    <t>17th</t>
  </si>
  <si>
    <t>in cash till</t>
  </si>
  <si>
    <t>18th</t>
  </si>
  <si>
    <t>19th</t>
  </si>
  <si>
    <t>1 rs variance</t>
  </si>
  <si>
    <t>217 is excess because of cash &amp; upi mismatch</t>
  </si>
  <si>
    <t>4000 short is there</t>
  </si>
  <si>
    <t xml:space="preserve"> </t>
  </si>
  <si>
    <t>DAYS</t>
  </si>
  <si>
    <t>72 extra</t>
  </si>
  <si>
    <t>MONDAY</t>
  </si>
  <si>
    <t>TUESDAY</t>
  </si>
  <si>
    <t>WEDNESDAY</t>
  </si>
  <si>
    <t>THURSDAY</t>
  </si>
  <si>
    <t>FRIDAY</t>
  </si>
  <si>
    <t>SATURDAY</t>
  </si>
  <si>
    <t>SUNDAY</t>
  </si>
  <si>
    <t>NAME</t>
  </si>
  <si>
    <t>DESIGNATION</t>
  </si>
  <si>
    <t>PHONE NUMBER</t>
  </si>
  <si>
    <t>15-12-2025</t>
  </si>
  <si>
    <t>16-12-2025</t>
  </si>
  <si>
    <t>17-12-2025</t>
  </si>
  <si>
    <t>18-12-2025</t>
  </si>
  <si>
    <t>19-12-2025</t>
  </si>
  <si>
    <t>20-12-2025</t>
  </si>
  <si>
    <t>21-12-2025</t>
  </si>
  <si>
    <t>BABURAM</t>
  </si>
  <si>
    <t>ASST. MANAGER</t>
  </si>
  <si>
    <t xml:space="preserve">4 PM TO 1 AM </t>
  </si>
  <si>
    <t>ENJOY</t>
  </si>
  <si>
    <t>BHAVYA</t>
  </si>
  <si>
    <t>SR GSA</t>
  </si>
  <si>
    <t>9 AM TO 6 PM</t>
  </si>
  <si>
    <t>BIBIN</t>
  </si>
  <si>
    <t>SUSHANTH</t>
  </si>
  <si>
    <t>DEEPIKA</t>
  </si>
  <si>
    <t>GSA</t>
  </si>
  <si>
    <t>BINAY</t>
  </si>
  <si>
    <t>RAJESH</t>
  </si>
  <si>
    <t>SAGAR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</si>
</sst>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2.0"/>
      <color rgb="FFFFFFFF"/>
      <name val="Arial"/>
    </font>
    <font>
      <color theme="1"/>
      <name val="Arial"/>
    </font>
    <font>
      <color theme="1"/>
      <name val="Arial"/>
      <scheme val="minor"/>
    </font>
    <font>
      <b/>
      <color theme="1"/>
      <name val="Arial"/>
    </font>
    <font/>
    <font>
      <sz val="12.0"/>
      <color rgb="FF000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1C232"/>
        <bgColor rgb="FFF1C232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FD966"/>
        <bgColor rgb="FFFFD966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EA9999"/>
        <bgColor rgb="FFEA9999"/>
      </patternFill>
    </fill>
  </fills>
  <borders count="11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3" fontId="2" numFmtId="0" xfId="0" applyFill="1" applyFont="1"/>
    <xf borderId="0" fillId="3" fontId="3" numFmtId="0" xfId="0" applyFill="1" applyFont="1"/>
    <xf borderId="0" fillId="0" fontId="2" numFmtId="0" xfId="0" applyFont="1"/>
    <xf borderId="0" fillId="0" fontId="3" numFmtId="0" xfId="0" applyAlignment="1" applyFont="1">
      <alignment readingOrder="0"/>
    </xf>
    <xf borderId="0" fillId="4" fontId="2" numFmtId="0" xfId="0" applyFill="1" applyFont="1"/>
    <xf borderId="0" fillId="4" fontId="2" numFmtId="0" xfId="0" applyAlignment="1" applyFill="1" applyFont="1">
      <alignment horizontal="right"/>
    </xf>
    <xf borderId="0" fillId="3" fontId="2" numFmtId="0" xfId="0" applyAlignment="1" applyFill="1" applyFont="1">
      <alignment horizontal="right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right"/>
    </xf>
    <xf borderId="0" fillId="5" fontId="1" numFmtId="0" xfId="0" applyFill="1" applyFont="1"/>
    <xf borderId="1" fillId="6" fontId="4" numFmtId="0" xfId="0" applyAlignment="1" applyBorder="1" applyFill="1" applyFont="1">
      <alignment horizontal="center"/>
    </xf>
    <xf borderId="2" fillId="0" fontId="5" numFmtId="0" xfId="0" applyBorder="1" applyFont="1"/>
    <xf borderId="3" fillId="0" fontId="5" numFmtId="0" xfId="0" applyBorder="1" applyFont="1"/>
    <xf borderId="0" fillId="0" fontId="4" numFmtId="0" xfId="0" applyAlignment="1" applyFont="1">
      <alignment horizontal="center"/>
    </xf>
    <xf borderId="4" fillId="0" fontId="5" numFmtId="0" xfId="0" applyBorder="1" applyFont="1"/>
    <xf borderId="5" fillId="0" fontId="5" numFmtId="0" xfId="0" applyBorder="1" applyFont="1"/>
    <xf borderId="6" fillId="0" fontId="5" numFmtId="0" xfId="0" applyBorder="1" applyFont="1"/>
    <xf borderId="7" fillId="7" fontId="4" numFmtId="0" xfId="0" applyAlignment="1" applyBorder="1" applyFill="1" applyFont="1">
      <alignment horizontal="center"/>
    </xf>
    <xf borderId="8" fillId="0" fontId="5" numFmtId="0" xfId="0" applyBorder="1" applyFont="1"/>
    <xf borderId="9" fillId="0" fontId="5" numFmtId="0" xfId="0" applyBorder="1" applyFont="1"/>
    <xf borderId="10" fillId="7" fontId="4" numFmtId="0" xfId="0" applyAlignment="1" applyBorder="1" applyFill="1" applyFont="1">
      <alignment horizontal="center"/>
    </xf>
    <xf borderId="0" fillId="5" fontId="6" numFmtId="0" xfId="0" applyFill="1" applyFont="1"/>
    <xf borderId="10" fillId="8" fontId="2" numFmtId="0" xfId="0" applyAlignment="1" applyBorder="1" applyFill="1" applyFont="1">
      <alignment horizontal="center" vertical="top"/>
    </xf>
    <xf borderId="0" fillId="0" fontId="2" numFmtId="0" xfId="0" applyAlignment="1" applyFont="1">
      <alignment horizontal="center" vertical="top"/>
    </xf>
    <xf borderId="10" fillId="9" fontId="2" numFmtId="0" xfId="0" applyAlignment="1" applyBorder="1" applyFill="1" applyFont="1">
      <alignment vertical="top"/>
    </xf>
    <xf borderId="10" fillId="9" fontId="2" numFmtId="0" xfId="0" applyAlignment="1" applyBorder="1" applyFill="1" applyFont="1">
      <alignment horizontal="right" vertical="top"/>
    </xf>
    <xf borderId="10" fillId="9" fontId="2" numFmtId="0" xfId="0" applyAlignment="1" applyBorder="1" applyFill="1" applyFont="1">
      <alignment horizontal="center" vertical="top"/>
    </xf>
    <xf borderId="10" fillId="0" fontId="2" numFmtId="0" xfId="0" applyAlignment="1" applyBorder="1" applyFont="1">
      <alignment vertical="top"/>
    </xf>
    <xf borderId="10" fillId="0" fontId="2" numFmtId="0" xfId="0" applyAlignment="1" applyBorder="1" applyFont="1">
      <alignment horizontal="right" vertical="top"/>
    </xf>
    <xf borderId="10" fillId="0" fontId="2" numFmtId="0" xfId="0" applyAlignment="1" applyBorder="1" applyFont="1">
      <alignment horizontal="center" vertical="top"/>
    </xf>
    <xf borderId="10" fillId="6" fontId="2" numFmtId="0" xfId="0" applyAlignment="1" applyBorder="1" applyFill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25"/>
    <col customWidth="1" min="2" max="2" width="7.63"/>
    <col customWidth="1" min="3" max="3" width="14.75"/>
    <col customWidth="1" min="4" max="5" width="7.63"/>
    <col customWidth="1" min="6" max="6" width="14.5"/>
    <col customWidth="1" min="7" max="7" width="9.75"/>
    <col customWidth="1" min="8" max="8" width="8.5"/>
    <col customWidth="1" min="9" max="9" width="7.63"/>
    <col customWidth="1" min="10" max="10" width="26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5.75" customHeight="1">
      <c r="A2" s="2" t="s">
        <v>10</v>
      </c>
      <c r="B2" s="2">
        <v>3421.0</v>
      </c>
      <c r="C2" s="3"/>
      <c r="D2" s="2">
        <v>2970.0</v>
      </c>
      <c r="E2" s="2">
        <v>451.0</v>
      </c>
      <c r="F2" s="2">
        <v>451.0</v>
      </c>
      <c r="G2" s="2">
        <v>0.0</v>
      </c>
      <c r="H2" s="2">
        <v>0.0</v>
      </c>
      <c r="I2" s="2">
        <f t="shared" ref="I2:I14" si="1">sum(C2+D2+E2)</f>
        <v>3421</v>
      </c>
    </row>
    <row r="3" ht="15.75" customHeight="1">
      <c r="A3" s="2" t="s">
        <v>13</v>
      </c>
      <c r="B3" s="2">
        <v>32220.0</v>
      </c>
      <c r="C3" s="3"/>
      <c r="D3" s="2">
        <v>25142.0</v>
      </c>
      <c r="E3" s="2">
        <v>7078.0</v>
      </c>
      <c r="F3" s="2">
        <v>7058.0</v>
      </c>
      <c r="G3" s="2">
        <v>20.0</v>
      </c>
      <c r="H3" s="2">
        <v>30.82</v>
      </c>
      <c r="I3" s="2">
        <f t="shared" si="1"/>
        <v>32220</v>
      </c>
    </row>
    <row r="4" ht="15.75" customHeight="1">
      <c r="A4" s="2" t="s">
        <v>14</v>
      </c>
      <c r="B4" s="2">
        <v>28173.0</v>
      </c>
      <c r="C4" s="3"/>
      <c r="D4" s="2">
        <v>18663.0</v>
      </c>
      <c r="E4" s="2">
        <v>9510.0</v>
      </c>
      <c r="F4" s="2">
        <v>7795.0</v>
      </c>
      <c r="G4" s="2">
        <v>1715.0</v>
      </c>
      <c r="H4" s="3"/>
      <c r="I4" s="2">
        <f t="shared" si="1"/>
        <v>28173</v>
      </c>
    </row>
    <row r="5" ht="15.75" customHeight="1">
      <c r="A5" s="2" t="s">
        <v>17</v>
      </c>
      <c r="B5" s="2">
        <v>39135.0</v>
      </c>
      <c r="C5" s="3"/>
      <c r="D5" s="2">
        <v>25448.0</v>
      </c>
      <c r="E5" s="2">
        <v>13687.0</v>
      </c>
      <c r="F5" s="2">
        <v>12553.0</v>
      </c>
      <c r="G5" s="2">
        <v>1134.0</v>
      </c>
      <c r="H5" s="2">
        <v>55.73</v>
      </c>
      <c r="I5" s="2">
        <f t="shared" si="1"/>
        <v>39135</v>
      </c>
    </row>
    <row r="6" ht="15.75" customHeight="1">
      <c r="A6" s="2" t="s">
        <v>19</v>
      </c>
      <c r="B6" s="2">
        <v>31453.0</v>
      </c>
      <c r="C6" s="3"/>
      <c r="D6" s="2">
        <v>20102.0</v>
      </c>
      <c r="E6" s="2">
        <v>10976.0</v>
      </c>
      <c r="F6" s="2">
        <v>10939.0</v>
      </c>
      <c r="G6" s="2">
        <v>10.0</v>
      </c>
      <c r="H6" s="2">
        <v>31.75</v>
      </c>
      <c r="I6" s="2">
        <f t="shared" si="1"/>
        <v>31078</v>
      </c>
      <c r="J6" s="4" t="s">
        <v>21</v>
      </c>
      <c r="K6" s="5">
        <v>11341.0</v>
      </c>
    </row>
    <row r="7" ht="15.75" customHeight="1">
      <c r="A7" s="2" t="s">
        <v>23</v>
      </c>
      <c r="B7" s="2">
        <v>28769.0</v>
      </c>
      <c r="C7" s="2">
        <v>515.0</v>
      </c>
      <c r="D7" s="2">
        <v>21214.0</v>
      </c>
      <c r="E7" s="2">
        <v>7445.0</v>
      </c>
      <c r="F7" s="2">
        <v>5129.0</v>
      </c>
      <c r="G7" s="2">
        <v>2316.0</v>
      </c>
      <c r="H7" s="2">
        <v>52.51</v>
      </c>
      <c r="I7" s="2">
        <f t="shared" si="1"/>
        <v>29174</v>
      </c>
      <c r="J7" s="4" t="s">
        <v>25</v>
      </c>
      <c r="K7" s="5">
        <v>4724.0</v>
      </c>
    </row>
    <row r="8" ht="15.75" customHeight="1">
      <c r="A8" s="2" t="s">
        <v>27</v>
      </c>
      <c r="B8" s="2">
        <v>46100.0</v>
      </c>
      <c r="C8" s="2">
        <v>2144.0</v>
      </c>
      <c r="D8" s="2">
        <v>27541.0</v>
      </c>
      <c r="E8" s="2">
        <v>16415.0</v>
      </c>
      <c r="F8" s="2">
        <v>16015.0</v>
      </c>
      <c r="G8" s="2">
        <v>400.0</v>
      </c>
      <c r="H8" s="2">
        <v>69.89</v>
      </c>
      <c r="I8" s="2">
        <f t="shared" si="1"/>
        <v>46100</v>
      </c>
    </row>
    <row r="9" ht="15.75" customHeight="1">
      <c r="A9" s="2" t="s">
        <v>28</v>
      </c>
      <c r="B9" s="2">
        <v>67517.0</v>
      </c>
      <c r="C9" s="2">
        <v>5871.0</v>
      </c>
      <c r="D9" s="2">
        <v>41860.0</v>
      </c>
      <c r="E9" s="2">
        <v>19786.0</v>
      </c>
      <c r="F9" s="2">
        <v>18160.0</v>
      </c>
      <c r="G9" s="2">
        <v>1645.0</v>
      </c>
      <c r="H9" s="2">
        <v>99.11</v>
      </c>
      <c r="I9" s="2">
        <f t="shared" si="1"/>
        <v>67517</v>
      </c>
    </row>
    <row r="10" ht="15.75" customHeight="1">
      <c r="A10" s="2" t="s">
        <v>32</v>
      </c>
      <c r="B10" s="2">
        <v>21683.0</v>
      </c>
      <c r="C10" s="2">
        <v>4199.0</v>
      </c>
      <c r="D10" s="2">
        <v>14087.0</v>
      </c>
      <c r="E10" s="2">
        <v>3397.0</v>
      </c>
      <c r="F10" s="2">
        <v>3000.0</v>
      </c>
      <c r="G10" s="2">
        <v>400.0</v>
      </c>
      <c r="H10" s="2">
        <v>32.81</v>
      </c>
      <c r="I10" s="2">
        <f t="shared" si="1"/>
        <v>21683</v>
      </c>
    </row>
    <row r="11" ht="15.75" customHeight="1">
      <c r="A11" s="2" t="s">
        <v>36</v>
      </c>
      <c r="B11" s="2">
        <v>19108.0</v>
      </c>
      <c r="C11" s="2">
        <v>458.0</v>
      </c>
      <c r="D11" s="2">
        <v>11559.0</v>
      </c>
      <c r="E11" s="2">
        <v>7091.0</v>
      </c>
      <c r="F11" s="2">
        <v>7040.0</v>
      </c>
      <c r="G11" s="2">
        <v>50.0</v>
      </c>
      <c r="H11" s="2">
        <v>8.17</v>
      </c>
      <c r="I11" s="2">
        <f t="shared" si="1"/>
        <v>19108</v>
      </c>
    </row>
    <row r="12" ht="15.75" customHeight="1">
      <c r="A12" s="4" t="s">
        <v>39</v>
      </c>
      <c r="B12" s="4">
        <v>31829.0</v>
      </c>
      <c r="C12" s="4">
        <v>4557.0</v>
      </c>
      <c r="D12" s="4">
        <v>17955.0</v>
      </c>
      <c r="E12" s="4">
        <v>9317.0</v>
      </c>
      <c r="F12" s="4">
        <v>8970.0</v>
      </c>
      <c r="G12" s="4">
        <v>448.0</v>
      </c>
      <c r="H12" s="4">
        <v>10.18</v>
      </c>
      <c r="I12" s="4">
        <f t="shared" si="1"/>
        <v>31829</v>
      </c>
      <c r="J12" s="4" t="s">
        <v>40</v>
      </c>
    </row>
    <row r="13" ht="15.75" customHeight="1">
      <c r="A13" s="4" t="s">
        <v>41</v>
      </c>
      <c r="B13" s="4">
        <v>35919.0</v>
      </c>
      <c r="C13" s="4">
        <v>6445.0</v>
      </c>
      <c r="D13" s="4">
        <v>18427.0</v>
      </c>
      <c r="E13" s="4">
        <v>11047.0</v>
      </c>
      <c r="F13" s="4">
        <v>10687.0</v>
      </c>
      <c r="G13" s="4">
        <v>360.0</v>
      </c>
      <c r="H13" s="4">
        <v>54.08</v>
      </c>
      <c r="I13" s="4">
        <f t="shared" si="1"/>
        <v>35919</v>
      </c>
    </row>
    <row r="14" ht="15.75" customHeight="1">
      <c r="A14" s="4" t="s">
        <v>44</v>
      </c>
      <c r="B14" s="4">
        <v>37210.0</v>
      </c>
      <c r="C14" s="4">
        <v>8762.0</v>
      </c>
      <c r="D14" s="4">
        <v>20971.0</v>
      </c>
      <c r="E14" s="4">
        <v>7477.0</v>
      </c>
      <c r="F14" s="4">
        <v>7427.0</v>
      </c>
      <c r="G14" s="4">
        <v>50.0</v>
      </c>
      <c r="H14" s="4">
        <v>12.5</v>
      </c>
      <c r="I14" s="4">
        <f t="shared" si="1"/>
        <v>37210</v>
      </c>
    </row>
    <row r="15" ht="15.75" customHeight="1">
      <c r="A15" s="1" t="s">
        <v>8</v>
      </c>
      <c r="B15" s="1">
        <f t="shared" ref="B15:I15" si="2">sum(B2:B14)</f>
        <v>422537</v>
      </c>
      <c r="C15" s="1">
        <f t="shared" si="2"/>
        <v>32951</v>
      </c>
      <c r="D15" s="1">
        <f t="shared" si="2"/>
        <v>265939</v>
      </c>
      <c r="E15" s="1">
        <f t="shared" si="2"/>
        <v>123677</v>
      </c>
      <c r="F15" s="1">
        <f t="shared" si="2"/>
        <v>115224</v>
      </c>
      <c r="G15" s="1">
        <f t="shared" si="2"/>
        <v>8548</v>
      </c>
      <c r="H15" s="1">
        <f t="shared" si="2"/>
        <v>457.55</v>
      </c>
      <c r="I15" s="1">
        <f t="shared" si="2"/>
        <v>422567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25"/>
    <col customWidth="1" min="2" max="2" width="8.75"/>
    <col customWidth="1" min="3" max="3" width="14.75"/>
    <col customWidth="1" min="4" max="5" width="7.63"/>
    <col customWidth="1" min="6" max="6" width="9.75"/>
    <col customWidth="1" min="7" max="7" width="14.5"/>
    <col customWidth="1" min="8" max="8" width="8.5"/>
    <col customWidth="1" min="9" max="9" width="8.75"/>
    <col customWidth="1" min="10" max="10" width="35.5"/>
    <col customWidth="1" min="12" max="13" width="6.38"/>
    <col customWidth="1" min="14" max="14" width="3.75"/>
    <col customWidth="1" min="15" max="16" width="5.63"/>
    <col customWidth="1" min="17" max="17" width="21.25"/>
    <col customWidth="1" min="18" max="18" width="20.25"/>
    <col customWidth="1" min="19" max="19" width="13.5"/>
    <col customWidth="1" min="20" max="20" width="14.5"/>
    <col customWidth="1" min="21" max="21" width="14.63"/>
    <col customWidth="1" min="22" max="30" width="12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5</v>
      </c>
      <c r="H1" s="1" t="s">
        <v>7</v>
      </c>
      <c r="I1" s="1" t="s">
        <v>8</v>
      </c>
      <c r="J1" s="1" t="s">
        <v>9</v>
      </c>
    </row>
    <row r="2" ht="15.75" customHeight="1">
      <c r="A2" s="2" t="s">
        <v>11</v>
      </c>
      <c r="B2" s="2">
        <v>64044.0</v>
      </c>
      <c r="C2" s="2">
        <v>9983.0</v>
      </c>
      <c r="D2" s="2">
        <v>36994.0</v>
      </c>
      <c r="E2" s="2">
        <f>sum(B2-C2-D2)</f>
        <v>17067</v>
      </c>
      <c r="F2" s="2">
        <v>1518.0</v>
      </c>
      <c r="G2" s="2">
        <v>15550.0</v>
      </c>
      <c r="H2" s="2">
        <v>28.07</v>
      </c>
      <c r="I2" s="2">
        <f t="shared" ref="I2:I31" si="1">sum(C2+D2+F2+G2)</f>
        <v>64045</v>
      </c>
      <c r="J2" s="2" t="s">
        <v>15</v>
      </c>
    </row>
    <row r="3" ht="15.75" customHeight="1">
      <c r="A3" s="2" t="s">
        <v>16</v>
      </c>
      <c r="B3" s="2">
        <v>66889.0</v>
      </c>
      <c r="C3" s="2">
        <v>9905.0</v>
      </c>
      <c r="D3" s="2">
        <v>44078.0</v>
      </c>
      <c r="E3" s="2">
        <v>12906.0</v>
      </c>
      <c r="F3" s="2">
        <v>831.0</v>
      </c>
      <c r="G3" s="2">
        <v>12075.0</v>
      </c>
      <c r="H3" s="2">
        <v>28.03</v>
      </c>
      <c r="I3" s="2">
        <f t="shared" si="1"/>
        <v>66889</v>
      </c>
      <c r="J3" s="2" t="s">
        <v>18</v>
      </c>
      <c r="L3" s="4"/>
      <c r="M3" s="4"/>
    </row>
    <row r="4" ht="15.75" customHeight="1">
      <c r="A4" s="2" t="s">
        <v>20</v>
      </c>
      <c r="B4" s="2">
        <v>29384.0</v>
      </c>
      <c r="C4" s="2">
        <v>4980.0</v>
      </c>
      <c r="D4" s="2">
        <v>16377.0</v>
      </c>
      <c r="E4" s="2">
        <v>8027.0</v>
      </c>
      <c r="F4" s="2">
        <v>1210.0</v>
      </c>
      <c r="G4" s="2">
        <v>6817.0</v>
      </c>
      <c r="H4" s="2">
        <v>25.85</v>
      </c>
      <c r="I4" s="2">
        <f t="shared" si="1"/>
        <v>29384</v>
      </c>
      <c r="J4" s="2" t="s">
        <v>24</v>
      </c>
      <c r="L4" s="4"/>
      <c r="M4" s="4"/>
    </row>
    <row r="5" ht="15.75" customHeight="1">
      <c r="A5" s="2" t="s">
        <v>22</v>
      </c>
      <c r="B5" s="2">
        <v>34343.0</v>
      </c>
      <c r="C5" s="2">
        <v>7702.0</v>
      </c>
      <c r="D5" s="2">
        <v>14257.0</v>
      </c>
      <c r="E5" s="2">
        <v>12384.0</v>
      </c>
      <c r="F5" s="2">
        <v>5973.0</v>
      </c>
      <c r="G5" s="2">
        <v>6307.0</v>
      </c>
      <c r="H5" s="2">
        <v>0.93</v>
      </c>
      <c r="I5" s="2">
        <f t="shared" si="1"/>
        <v>34239</v>
      </c>
      <c r="J5" s="2" t="s">
        <v>29</v>
      </c>
      <c r="L5" s="4"/>
      <c r="M5" s="4"/>
      <c r="P5" s="4">
        <v>50000.0</v>
      </c>
      <c r="Q5" s="4" t="s">
        <v>30</v>
      </c>
    </row>
    <row r="6" ht="15.75" customHeight="1">
      <c r="A6" s="2" t="s">
        <v>26</v>
      </c>
      <c r="B6" s="2">
        <v>29391.0</v>
      </c>
      <c r="C6" s="2">
        <v>5196.0</v>
      </c>
      <c r="D6" s="2">
        <v>15766.0</v>
      </c>
      <c r="E6" s="2">
        <v>8429.0</v>
      </c>
      <c r="F6" s="2">
        <v>597.0</v>
      </c>
      <c r="G6" s="2">
        <v>7936.0</v>
      </c>
      <c r="H6" s="2">
        <v>4.97</v>
      </c>
      <c r="I6" s="2">
        <f t="shared" si="1"/>
        <v>29495</v>
      </c>
      <c r="J6" s="2" t="s">
        <v>33</v>
      </c>
      <c r="L6" s="4"/>
      <c r="M6" s="4"/>
      <c r="P6" s="4">
        <v>18500.0</v>
      </c>
      <c r="Q6" s="4" t="s">
        <v>34</v>
      </c>
    </row>
    <row r="7" ht="15.75" customHeight="1">
      <c r="A7" s="2" t="s">
        <v>31</v>
      </c>
      <c r="B7" s="2">
        <v>24766.0</v>
      </c>
      <c r="C7" s="2">
        <v>5077.0</v>
      </c>
      <c r="D7" s="2">
        <v>10010.0</v>
      </c>
      <c r="E7" s="2">
        <v>9679.0</v>
      </c>
      <c r="F7" s="2">
        <v>2000.0</v>
      </c>
      <c r="G7" s="2">
        <v>7679.0</v>
      </c>
      <c r="H7" s="2">
        <v>0.0</v>
      </c>
      <c r="I7" s="2">
        <f t="shared" si="1"/>
        <v>24766</v>
      </c>
      <c r="J7" s="2" t="s">
        <v>18</v>
      </c>
      <c r="L7" s="4"/>
      <c r="M7" s="4"/>
      <c r="P7" s="4">
        <v>1500.0</v>
      </c>
      <c r="Q7" s="4" t="s">
        <v>37</v>
      </c>
    </row>
    <row r="8" ht="15.75" customHeight="1">
      <c r="A8" s="2" t="s">
        <v>35</v>
      </c>
      <c r="B8" s="2">
        <v>41005.0</v>
      </c>
      <c r="C8" s="2">
        <v>5152.0</v>
      </c>
      <c r="D8" s="2">
        <v>21492.0</v>
      </c>
      <c r="E8" s="2">
        <v>14361.0</v>
      </c>
      <c r="F8" s="2">
        <v>4089.0</v>
      </c>
      <c r="G8" s="2">
        <v>10272.0</v>
      </c>
      <c r="H8" s="2">
        <v>8.93</v>
      </c>
      <c r="I8" s="2">
        <f t="shared" si="1"/>
        <v>41005</v>
      </c>
      <c r="J8" s="2" t="s">
        <v>18</v>
      </c>
      <c r="L8" s="4"/>
      <c r="M8" s="4"/>
      <c r="P8" s="4">
        <v>51500.0</v>
      </c>
      <c r="Q8" s="4" t="s">
        <v>43</v>
      </c>
    </row>
    <row r="9" ht="15.75" customHeight="1">
      <c r="A9" s="2" t="s">
        <v>38</v>
      </c>
      <c r="B9" s="2">
        <v>55831.0</v>
      </c>
      <c r="C9" s="2">
        <v>14141.0</v>
      </c>
      <c r="D9" s="2">
        <v>31180.0</v>
      </c>
      <c r="E9" s="2">
        <v>10510.0</v>
      </c>
      <c r="F9" s="2">
        <v>1883.0</v>
      </c>
      <c r="G9" s="2">
        <v>8627.0</v>
      </c>
      <c r="H9" s="2">
        <v>34.59</v>
      </c>
      <c r="I9" s="2">
        <f t="shared" si="1"/>
        <v>55831</v>
      </c>
      <c r="J9" s="2" t="s">
        <v>18</v>
      </c>
      <c r="L9" s="4"/>
      <c r="M9" s="4"/>
    </row>
    <row r="10" ht="15.75" customHeight="1">
      <c r="A10" s="2" t="s">
        <v>42</v>
      </c>
      <c r="B10" s="2">
        <v>56096.0</v>
      </c>
      <c r="C10" s="2">
        <v>8801.0</v>
      </c>
      <c r="D10" s="2">
        <v>30495.0</v>
      </c>
      <c r="E10" s="2">
        <v>16700.0</v>
      </c>
      <c r="F10" s="2">
        <v>770.0</v>
      </c>
      <c r="G10" s="2">
        <v>15930.0</v>
      </c>
      <c r="H10" s="2">
        <v>57.81</v>
      </c>
      <c r="I10" s="2">
        <f t="shared" si="1"/>
        <v>55996</v>
      </c>
      <c r="J10" s="2" t="s">
        <v>18</v>
      </c>
      <c r="L10" s="4"/>
      <c r="M10" s="4"/>
    </row>
    <row r="11" ht="15.75" customHeight="1">
      <c r="A11" s="2" t="s">
        <v>45</v>
      </c>
      <c r="B11" s="2">
        <v>25512.0</v>
      </c>
      <c r="C11" s="2">
        <v>3853.0</v>
      </c>
      <c r="D11" s="2">
        <v>12705.0</v>
      </c>
      <c r="E11" s="2">
        <v>8954.0</v>
      </c>
      <c r="F11" s="2">
        <v>210.0</v>
      </c>
      <c r="G11" s="2">
        <v>8743.0</v>
      </c>
      <c r="H11" s="2">
        <v>37.14</v>
      </c>
      <c r="I11" s="2">
        <f t="shared" si="1"/>
        <v>25511</v>
      </c>
      <c r="J11" s="2" t="s">
        <v>48</v>
      </c>
      <c r="L11" s="4"/>
      <c r="M11" s="4"/>
    </row>
    <row r="12" ht="15.75" customHeight="1">
      <c r="A12" s="2" t="s">
        <v>46</v>
      </c>
      <c r="B12" s="2">
        <v>31673.0</v>
      </c>
      <c r="C12" s="2">
        <v>7369.0</v>
      </c>
      <c r="D12" s="2">
        <v>13535.0</v>
      </c>
      <c r="E12" s="2">
        <v>10769.0</v>
      </c>
      <c r="F12" s="2">
        <v>414.0</v>
      </c>
      <c r="G12" s="2">
        <v>10355.0</v>
      </c>
      <c r="H12" s="2">
        <v>0.0</v>
      </c>
      <c r="I12" s="2">
        <f t="shared" si="1"/>
        <v>31673</v>
      </c>
      <c r="J12" s="2" t="s">
        <v>18</v>
      </c>
      <c r="L12" s="9"/>
    </row>
    <row r="13" ht="15.75" customHeight="1">
      <c r="A13" s="4" t="s">
        <v>47</v>
      </c>
      <c r="B13" s="4">
        <v>26443.0</v>
      </c>
      <c r="C13" s="4">
        <v>4792.0</v>
      </c>
      <c r="D13" s="4">
        <v>13029.0</v>
      </c>
      <c r="E13" s="4">
        <v>8622.0</v>
      </c>
      <c r="F13" s="4">
        <v>51.0</v>
      </c>
      <c r="G13" s="10">
        <v>7690.0</v>
      </c>
      <c r="H13" s="4">
        <v>8.4</v>
      </c>
      <c r="I13" s="4">
        <f t="shared" si="1"/>
        <v>25562</v>
      </c>
      <c r="J13" s="4" t="s">
        <v>52</v>
      </c>
    </row>
    <row r="14" ht="15.75" customHeight="1">
      <c r="A14" s="4" t="s">
        <v>49</v>
      </c>
      <c r="B14" s="4">
        <v>27472.0</v>
      </c>
      <c r="C14" s="4">
        <v>6318.0</v>
      </c>
      <c r="D14" s="4">
        <v>13589.0</v>
      </c>
      <c r="E14" s="4">
        <v>7565.0</v>
      </c>
      <c r="F14" s="4">
        <v>460.0</v>
      </c>
      <c r="G14" s="4">
        <v>7105.0</v>
      </c>
      <c r="H14" s="4">
        <v>25.64</v>
      </c>
      <c r="I14" s="4">
        <f t="shared" si="1"/>
        <v>27472</v>
      </c>
      <c r="J14" s="4" t="s">
        <v>18</v>
      </c>
      <c r="Q14" s="4"/>
      <c r="R14" s="4"/>
    </row>
    <row r="15" ht="15.75" customHeight="1">
      <c r="A15" s="4" t="s">
        <v>50</v>
      </c>
      <c r="B15" s="4">
        <v>38634.0</v>
      </c>
      <c r="C15" s="4">
        <v>4477.0</v>
      </c>
      <c r="D15" s="4">
        <v>23700.0</v>
      </c>
      <c r="E15" s="4">
        <v>10457.0</v>
      </c>
      <c r="F15" s="4">
        <v>680.0</v>
      </c>
      <c r="G15" s="4">
        <v>9777.0</v>
      </c>
      <c r="H15" s="4">
        <v>8.75</v>
      </c>
      <c r="I15" s="4">
        <f t="shared" si="1"/>
        <v>38634</v>
      </c>
      <c r="J15" s="4" t="s">
        <v>18</v>
      </c>
      <c r="Q15" s="4"/>
      <c r="R15" s="4"/>
    </row>
    <row r="16" ht="15.75" customHeight="1">
      <c r="A16" s="4" t="s">
        <v>51</v>
      </c>
      <c r="B16" s="4">
        <v>44489.0</v>
      </c>
      <c r="C16" s="4">
        <v>8293.0</v>
      </c>
      <c r="D16" s="4">
        <v>24933.0</v>
      </c>
      <c r="E16" s="4">
        <v>11263.0</v>
      </c>
      <c r="F16" s="4">
        <v>4642.0</v>
      </c>
      <c r="G16" s="4">
        <v>6621.0</v>
      </c>
      <c r="H16" s="4">
        <v>26.17</v>
      </c>
      <c r="I16" s="4">
        <f t="shared" si="1"/>
        <v>44489</v>
      </c>
      <c r="J16" s="4" t="s">
        <v>18</v>
      </c>
      <c r="R16" s="4"/>
    </row>
    <row r="17" ht="15.75" customHeight="1">
      <c r="A17" s="4" t="s">
        <v>53</v>
      </c>
      <c r="B17" s="4">
        <v>49340.0</v>
      </c>
      <c r="C17" s="4">
        <v>9740.0</v>
      </c>
      <c r="D17" s="4">
        <v>28456.0</v>
      </c>
      <c r="E17" s="4">
        <v>11144.0</v>
      </c>
      <c r="F17" s="4">
        <v>956.0</v>
      </c>
      <c r="G17" s="4">
        <v>10188.0</v>
      </c>
      <c r="H17" s="4">
        <v>114.65</v>
      </c>
      <c r="I17" s="4">
        <f t="shared" si="1"/>
        <v>49340</v>
      </c>
      <c r="J17" s="4" t="s">
        <v>18</v>
      </c>
      <c r="R17" s="4"/>
    </row>
    <row r="18" ht="15.75" customHeight="1">
      <c r="A18" s="4" t="s">
        <v>54</v>
      </c>
      <c r="B18" s="4">
        <v>23928.0</v>
      </c>
      <c r="C18" s="4">
        <v>3915.0</v>
      </c>
      <c r="D18" s="4">
        <v>12396.0</v>
      </c>
      <c r="E18" s="4">
        <v>7617.0</v>
      </c>
      <c r="F18" s="4">
        <v>208.0</v>
      </c>
      <c r="G18" s="4">
        <v>7409.0</v>
      </c>
      <c r="H18" s="4">
        <v>0.0</v>
      </c>
      <c r="I18" s="4">
        <f t="shared" si="1"/>
        <v>23928</v>
      </c>
      <c r="J18" s="4" t="s">
        <v>18</v>
      </c>
    </row>
    <row r="19" ht="15.75" customHeight="1">
      <c r="A19" s="4" t="s">
        <v>56</v>
      </c>
      <c r="B19" s="4">
        <v>23315.0</v>
      </c>
      <c r="C19" s="4">
        <v>5866.0</v>
      </c>
      <c r="D19" s="4">
        <v>9124.0</v>
      </c>
      <c r="E19" s="4">
        <v>8326.0</v>
      </c>
      <c r="F19" s="4">
        <v>136.0</v>
      </c>
      <c r="G19" s="4">
        <v>8190.0</v>
      </c>
      <c r="H19" s="4">
        <v>6.09</v>
      </c>
      <c r="I19" s="4">
        <f t="shared" si="1"/>
        <v>23316</v>
      </c>
      <c r="J19" s="4" t="s">
        <v>58</v>
      </c>
    </row>
    <row r="20" ht="15.75" customHeight="1">
      <c r="A20" s="4" t="s">
        <v>57</v>
      </c>
      <c r="B20" s="4">
        <v>31250.0</v>
      </c>
      <c r="C20" s="4">
        <v>6505.0</v>
      </c>
      <c r="D20" s="4">
        <v>15294.0</v>
      </c>
      <c r="E20" s="4">
        <v>9451.0</v>
      </c>
      <c r="F20" s="4">
        <v>835.0</v>
      </c>
      <c r="G20" s="4">
        <v>8616.0</v>
      </c>
      <c r="H20" s="4">
        <v>14.61</v>
      </c>
      <c r="I20" s="4">
        <f t="shared" si="1"/>
        <v>31250</v>
      </c>
      <c r="J20" s="4" t="s">
        <v>18</v>
      </c>
      <c r="Q20" s="4"/>
      <c r="R20" s="4"/>
    </row>
    <row r="21" ht="15.75" customHeight="1">
      <c r="A21" s="4" t="s">
        <v>13</v>
      </c>
      <c r="B21" s="4">
        <v>32104.0</v>
      </c>
      <c r="C21" s="4">
        <v>8082.0</v>
      </c>
      <c r="D21" s="4">
        <v>15648.0</v>
      </c>
      <c r="E21" s="4">
        <v>8374.0</v>
      </c>
      <c r="F21" s="4">
        <v>738.0</v>
      </c>
      <c r="G21" s="4">
        <v>7853.0</v>
      </c>
      <c r="H21" s="4">
        <v>24.96</v>
      </c>
      <c r="I21" s="4">
        <f t="shared" si="1"/>
        <v>32321</v>
      </c>
      <c r="J21" s="4" t="s">
        <v>59</v>
      </c>
      <c r="Q21" s="4"/>
      <c r="R21" s="4"/>
    </row>
    <row r="22" ht="15.75" customHeight="1">
      <c r="A22" s="4" t="s">
        <v>14</v>
      </c>
      <c r="B22" s="4">
        <v>31460.0</v>
      </c>
      <c r="C22" s="4">
        <v>9770.0</v>
      </c>
      <c r="D22" s="4">
        <v>15648.0</v>
      </c>
      <c r="E22" s="4">
        <v>6042.0</v>
      </c>
      <c r="F22" s="4">
        <v>350.0</v>
      </c>
      <c r="G22" s="4">
        <v>5692.0</v>
      </c>
      <c r="H22" s="4">
        <v>31.45</v>
      </c>
      <c r="I22" s="4">
        <f t="shared" si="1"/>
        <v>31460</v>
      </c>
      <c r="J22" s="4" t="s">
        <v>18</v>
      </c>
    </row>
    <row r="23" ht="15.75" customHeight="1">
      <c r="A23" s="4" t="s">
        <v>17</v>
      </c>
      <c r="B23" s="4">
        <v>46357.0</v>
      </c>
      <c r="C23" s="4">
        <v>7553.0</v>
      </c>
      <c r="D23" s="4">
        <v>24802.0</v>
      </c>
      <c r="E23" s="4">
        <v>14002.0</v>
      </c>
      <c r="F23" s="4">
        <v>2000.0</v>
      </c>
      <c r="G23" s="4">
        <v>12002.0</v>
      </c>
      <c r="H23" s="4">
        <v>70.62</v>
      </c>
      <c r="I23" s="4">
        <f t="shared" si="1"/>
        <v>46357</v>
      </c>
      <c r="J23" s="4" t="s">
        <v>18</v>
      </c>
    </row>
    <row r="24" ht="15.75" customHeight="1">
      <c r="A24" s="4" t="s">
        <v>19</v>
      </c>
      <c r="B24" s="4">
        <v>72323.0</v>
      </c>
      <c r="C24" s="4">
        <v>16542.0</v>
      </c>
      <c r="D24" s="4">
        <v>36855.0</v>
      </c>
      <c r="E24" s="4">
        <v>18962.0</v>
      </c>
      <c r="F24" s="4">
        <v>1620.0</v>
      </c>
      <c r="G24" s="4">
        <v>17306.0</v>
      </c>
      <c r="H24" s="4">
        <v>101.07</v>
      </c>
      <c r="I24" s="4">
        <f t="shared" si="1"/>
        <v>72323</v>
      </c>
      <c r="J24" s="4" t="s">
        <v>18</v>
      </c>
    </row>
    <row r="25" ht="15.75" customHeight="1">
      <c r="A25" s="4" t="s">
        <v>23</v>
      </c>
      <c r="B25" s="4">
        <v>23169.0</v>
      </c>
      <c r="C25" s="4">
        <v>5154.0</v>
      </c>
      <c r="D25" s="4">
        <v>11736.0</v>
      </c>
      <c r="E25" s="4">
        <v>6296.0</v>
      </c>
      <c r="F25" s="4">
        <v>1520.0</v>
      </c>
      <c r="G25" s="4">
        <v>4776.0</v>
      </c>
      <c r="H25" s="4">
        <v>6.03</v>
      </c>
      <c r="I25" s="4">
        <f t="shared" si="1"/>
        <v>23186</v>
      </c>
      <c r="J25" s="4" t="s">
        <v>18</v>
      </c>
    </row>
    <row r="26" ht="15.75" customHeight="1">
      <c r="A26" s="4" t="s">
        <v>27</v>
      </c>
      <c r="B26" s="4">
        <v>182651.0</v>
      </c>
      <c r="C26" s="4">
        <v>13885.0</v>
      </c>
      <c r="D26" s="4">
        <v>103368.0</v>
      </c>
      <c r="E26" s="4">
        <v>65398.0</v>
      </c>
      <c r="F26" s="4">
        <v>1164.0</v>
      </c>
      <c r="G26" s="4">
        <v>60234.0</v>
      </c>
      <c r="H26" s="4">
        <v>141.36</v>
      </c>
      <c r="I26" s="4">
        <f t="shared" si="1"/>
        <v>178651</v>
      </c>
      <c r="J26" s="4" t="s">
        <v>60</v>
      </c>
    </row>
    <row r="27" ht="15.75" customHeight="1">
      <c r="A27" s="4" t="s">
        <v>28</v>
      </c>
      <c r="B27" s="4">
        <v>43943.0</v>
      </c>
      <c r="C27" s="4">
        <v>9953.0</v>
      </c>
      <c r="D27" s="4">
        <v>20251.0</v>
      </c>
      <c r="E27" s="4">
        <v>13739.0</v>
      </c>
      <c r="F27" s="4">
        <v>360.0</v>
      </c>
      <c r="G27" s="4">
        <v>13379.0</v>
      </c>
      <c r="H27" s="4">
        <v>12.27</v>
      </c>
      <c r="I27" s="4">
        <f t="shared" si="1"/>
        <v>43943</v>
      </c>
      <c r="J27" s="4" t="s">
        <v>18</v>
      </c>
    </row>
    <row r="28" ht="15.75" customHeight="1">
      <c r="A28" s="4" t="s">
        <v>32</v>
      </c>
      <c r="B28" s="4">
        <v>32540.0</v>
      </c>
      <c r="C28" s="4">
        <v>7992.0</v>
      </c>
      <c r="D28" s="4">
        <v>15633.0</v>
      </c>
      <c r="E28" s="4">
        <v>8915.0</v>
      </c>
      <c r="F28" s="4">
        <v>240.0</v>
      </c>
      <c r="G28" s="4">
        <v>8675.0</v>
      </c>
      <c r="H28" s="4">
        <v>34.13</v>
      </c>
      <c r="I28" s="4">
        <f t="shared" si="1"/>
        <v>32540</v>
      </c>
      <c r="J28" s="4" t="s">
        <v>18</v>
      </c>
    </row>
    <row r="29" ht="15.75" customHeight="1">
      <c r="A29" s="4" t="s">
        <v>36</v>
      </c>
      <c r="B29" s="4">
        <v>27478.0</v>
      </c>
      <c r="C29" s="4">
        <v>3853.0</v>
      </c>
      <c r="D29" s="4">
        <v>15323.0</v>
      </c>
      <c r="E29" s="4">
        <v>8302.0</v>
      </c>
      <c r="F29" s="4">
        <v>926.0</v>
      </c>
      <c r="G29" s="4">
        <v>7376.0</v>
      </c>
      <c r="H29" s="4">
        <v>18.39</v>
      </c>
      <c r="I29" s="4">
        <f t="shared" si="1"/>
        <v>27478</v>
      </c>
      <c r="J29" s="4" t="s">
        <v>18</v>
      </c>
    </row>
    <row r="30" ht="15.75" customHeight="1">
      <c r="A30" s="4" t="s">
        <v>39</v>
      </c>
      <c r="B30" s="4">
        <v>35833.0</v>
      </c>
      <c r="C30" s="4">
        <v>7923.0</v>
      </c>
      <c r="D30" s="4">
        <v>20945.0</v>
      </c>
      <c r="E30" s="4">
        <v>6965.0</v>
      </c>
      <c r="F30" s="4">
        <v>1276.0</v>
      </c>
      <c r="G30" s="4">
        <v>5689.0</v>
      </c>
      <c r="H30" s="4">
        <v>14.66</v>
      </c>
      <c r="I30" s="4">
        <f t="shared" si="1"/>
        <v>35833</v>
      </c>
      <c r="J30" s="4" t="s">
        <v>18</v>
      </c>
    </row>
    <row r="31" ht="15.75" customHeight="1">
      <c r="A31" s="4" t="s">
        <v>41</v>
      </c>
      <c r="B31" s="4">
        <v>45955.0</v>
      </c>
      <c r="C31" s="4">
        <v>10439.0</v>
      </c>
      <c r="D31" s="4">
        <v>26359.0</v>
      </c>
      <c r="E31" s="4">
        <v>9157.0</v>
      </c>
      <c r="F31" s="4">
        <v>797.0</v>
      </c>
      <c r="G31" s="4">
        <v>8360.0</v>
      </c>
      <c r="H31" s="4">
        <v>17.41</v>
      </c>
      <c r="I31" s="4">
        <f t="shared" si="1"/>
        <v>45955</v>
      </c>
      <c r="J31" s="4" t="s">
        <v>18</v>
      </c>
    </row>
    <row r="32" ht="15.75" customHeight="1">
      <c r="A32" s="11"/>
      <c r="B32" s="11">
        <f t="shared" ref="B32:J32" si="2">SUM(B2:B31)</f>
        <v>1297618</v>
      </c>
      <c r="C32" s="11">
        <f t="shared" si="2"/>
        <v>233211</v>
      </c>
      <c r="D32" s="11">
        <f t="shared" si="2"/>
        <v>693978</v>
      </c>
      <c r="E32" s="11">
        <f t="shared" si="2"/>
        <v>370383</v>
      </c>
      <c r="F32" s="11">
        <f t="shared" si="2"/>
        <v>38454</v>
      </c>
      <c r="G32" s="11">
        <f t="shared" si="2"/>
        <v>327229</v>
      </c>
      <c r="H32" s="11">
        <f t="shared" si="2"/>
        <v>902.98</v>
      </c>
      <c r="I32" s="11">
        <f t="shared" si="2"/>
        <v>1292872</v>
      </c>
      <c r="J32" s="11">
        <f t="shared" si="2"/>
        <v>0</v>
      </c>
    </row>
    <row r="33" ht="15.75" customHeight="1"/>
    <row r="34" ht="15.75" customHeight="1"/>
    <row r="35" ht="15.75" customHeight="1"/>
    <row r="36" ht="15.75" customHeight="1">
      <c r="S36" s="12" t="s">
        <v>61</v>
      </c>
      <c r="T36" s="13"/>
      <c r="U36" s="13"/>
      <c r="V36" s="13"/>
      <c r="W36" s="13"/>
      <c r="X36" s="13"/>
      <c r="Y36" s="13"/>
      <c r="Z36" s="13"/>
      <c r="AA36" s="13"/>
      <c r="AB36" s="14"/>
      <c r="AC36" s="15"/>
      <c r="AD36" s="15"/>
    </row>
    <row r="37" ht="15.75" customHeight="1">
      <c r="S37" s="16"/>
      <c r="T37" s="17"/>
      <c r="U37" s="17"/>
      <c r="V37" s="17"/>
      <c r="W37" s="17"/>
      <c r="X37" s="17"/>
      <c r="Y37" s="17"/>
      <c r="Z37" s="17"/>
      <c r="AA37" s="17"/>
      <c r="AB37" s="18"/>
      <c r="AC37" s="15"/>
      <c r="AD37" s="15"/>
    </row>
    <row r="38" ht="15.75" customHeight="1">
      <c r="S38" s="19" t="s">
        <v>62</v>
      </c>
      <c r="T38" s="20"/>
      <c r="U38" s="21"/>
      <c r="V38" s="22" t="s">
        <v>64</v>
      </c>
      <c r="W38" s="22" t="s">
        <v>65</v>
      </c>
      <c r="X38" s="22" t="s">
        <v>66</v>
      </c>
      <c r="Y38" s="22" t="s">
        <v>67</v>
      </c>
      <c r="Z38" s="22" t="s">
        <v>68</v>
      </c>
      <c r="AA38" s="22" t="s">
        <v>69</v>
      </c>
      <c r="AB38" s="22" t="s">
        <v>70</v>
      </c>
      <c r="AC38" s="15"/>
      <c r="AD38" s="15"/>
    </row>
    <row r="39" ht="15.75" customHeight="1">
      <c r="S39" s="24" t="s">
        <v>71</v>
      </c>
      <c r="T39" s="24" t="s">
        <v>72</v>
      </c>
      <c r="U39" s="24" t="s">
        <v>73</v>
      </c>
      <c r="V39" s="24" t="s">
        <v>74</v>
      </c>
      <c r="W39" s="24" t="s">
        <v>75</v>
      </c>
      <c r="X39" s="24" t="s">
        <v>76</v>
      </c>
      <c r="Y39" s="24" t="s">
        <v>77</v>
      </c>
      <c r="Z39" s="24" t="s">
        <v>78</v>
      </c>
      <c r="AA39" s="24" t="s">
        <v>79</v>
      </c>
      <c r="AB39" s="24" t="s">
        <v>80</v>
      </c>
      <c r="AC39" s="25"/>
      <c r="AD39" s="25"/>
    </row>
    <row r="40" ht="15.75" customHeight="1">
      <c r="S40" s="26"/>
      <c r="T40" s="26"/>
      <c r="U40" s="27"/>
      <c r="V40" s="28"/>
      <c r="W40" s="28"/>
      <c r="X40" s="28"/>
      <c r="Y40" s="28"/>
      <c r="Z40" s="28"/>
      <c r="AA40" s="28"/>
      <c r="AB40" s="28"/>
      <c r="AC40" s="25"/>
      <c r="AD40" s="25"/>
    </row>
    <row r="41" ht="15.75" customHeight="1">
      <c r="S41" s="29" t="s">
        <v>81</v>
      </c>
      <c r="T41" s="29" t="s">
        <v>82</v>
      </c>
      <c r="U41" s="30">
        <v>9.353768012E9</v>
      </c>
      <c r="V41" s="31" t="s">
        <v>83</v>
      </c>
      <c r="W41" s="32" t="s">
        <v>84</v>
      </c>
      <c r="X41" s="31" t="s">
        <v>83</v>
      </c>
      <c r="Y41" s="31" t="s">
        <v>83</v>
      </c>
      <c r="Z41" s="31" t="s">
        <v>83</v>
      </c>
      <c r="AA41" s="31" t="s">
        <v>83</v>
      </c>
      <c r="AB41" s="31" t="s">
        <v>83</v>
      </c>
      <c r="AC41" s="25"/>
      <c r="AD41" s="25"/>
    </row>
    <row r="42" ht="15.75" customHeight="1">
      <c r="S42" s="29" t="s">
        <v>85</v>
      </c>
      <c r="T42" s="29" t="s">
        <v>86</v>
      </c>
      <c r="U42" s="30">
        <v>7.483277656E9</v>
      </c>
      <c r="V42" s="31" t="s">
        <v>87</v>
      </c>
      <c r="W42" s="31" t="s">
        <v>87</v>
      </c>
      <c r="X42" s="32" t="s">
        <v>84</v>
      </c>
      <c r="Y42" s="31" t="s">
        <v>87</v>
      </c>
      <c r="Z42" s="31" t="s">
        <v>87</v>
      </c>
      <c r="AA42" s="31" t="s">
        <v>87</v>
      </c>
      <c r="AB42" s="31" t="s">
        <v>87</v>
      </c>
      <c r="AC42" s="25"/>
      <c r="AD42" s="25"/>
    </row>
    <row r="43" ht="15.75" customHeight="1">
      <c r="S43" s="29" t="s">
        <v>88</v>
      </c>
      <c r="T43" s="29" t="s">
        <v>86</v>
      </c>
      <c r="U43" s="30">
        <v>8.921771258E9</v>
      </c>
      <c r="V43" s="32" t="s">
        <v>84</v>
      </c>
      <c r="W43" s="31" t="s">
        <v>83</v>
      </c>
      <c r="X43" s="31" t="s">
        <v>83</v>
      </c>
      <c r="Y43" s="31" t="s">
        <v>83</v>
      </c>
      <c r="Z43" s="31" t="s">
        <v>83</v>
      </c>
      <c r="AA43" s="31" t="s">
        <v>83</v>
      </c>
      <c r="AB43" s="31" t="s">
        <v>83</v>
      </c>
      <c r="AC43" s="25"/>
      <c r="AD43" s="25"/>
    </row>
    <row r="44" ht="15.75" customHeight="1">
      <c r="S44" s="29" t="s">
        <v>89</v>
      </c>
      <c r="T44" s="29" t="s">
        <v>86</v>
      </c>
      <c r="U44" s="30">
        <v>9.863206103E9</v>
      </c>
      <c r="V44" s="31" t="s">
        <v>83</v>
      </c>
      <c r="W44" s="31" t="s">
        <v>83</v>
      </c>
      <c r="X44" s="32" t="s">
        <v>84</v>
      </c>
      <c r="Y44" s="31" t="s">
        <v>83</v>
      </c>
      <c r="Z44" s="31" t="s">
        <v>83</v>
      </c>
      <c r="AA44" s="31" t="s">
        <v>83</v>
      </c>
      <c r="AB44" s="31" t="s">
        <v>83</v>
      </c>
      <c r="AC44" s="25"/>
      <c r="AD44" s="25"/>
    </row>
    <row r="45" ht="15.75" customHeight="1">
      <c r="S45" s="29" t="s">
        <v>90</v>
      </c>
      <c r="T45" s="29" t="s">
        <v>91</v>
      </c>
      <c r="U45" s="30">
        <v>9.632426623E9</v>
      </c>
      <c r="V45" s="31" t="s">
        <v>87</v>
      </c>
      <c r="W45" s="32" t="s">
        <v>84</v>
      </c>
      <c r="X45" s="31" t="s">
        <v>87</v>
      </c>
      <c r="Y45" s="31" t="s">
        <v>87</v>
      </c>
      <c r="Z45" s="31" t="s">
        <v>87</v>
      </c>
      <c r="AA45" s="31" t="s">
        <v>87</v>
      </c>
      <c r="AB45" s="31" t="s">
        <v>87</v>
      </c>
      <c r="AC45" s="25"/>
      <c r="AD45" s="25"/>
    </row>
    <row r="46" ht="15.75" customHeight="1">
      <c r="S46" s="29" t="s">
        <v>92</v>
      </c>
      <c r="T46" s="29" t="s">
        <v>91</v>
      </c>
      <c r="U46" s="30">
        <v>7.085297993E9</v>
      </c>
      <c r="V46" s="32" t="s">
        <v>84</v>
      </c>
      <c r="W46" s="31" t="s">
        <v>87</v>
      </c>
      <c r="X46" s="31" t="s">
        <v>87</v>
      </c>
      <c r="Y46" s="31" t="s">
        <v>87</v>
      </c>
      <c r="Z46" s="31" t="s">
        <v>87</v>
      </c>
      <c r="AA46" s="31" t="s">
        <v>87</v>
      </c>
      <c r="AB46" s="31" t="s">
        <v>87</v>
      </c>
      <c r="AC46" s="25"/>
      <c r="AD46" s="25"/>
    </row>
    <row r="47" ht="15.75" customHeight="1">
      <c r="S47" s="29" t="s">
        <v>93</v>
      </c>
      <c r="T47" s="29" t="s">
        <v>91</v>
      </c>
      <c r="U47" s="30">
        <v>8.787803124E9</v>
      </c>
      <c r="V47" s="31" t="s">
        <v>83</v>
      </c>
      <c r="W47" s="31" t="s">
        <v>83</v>
      </c>
      <c r="X47" s="31" t="s">
        <v>83</v>
      </c>
      <c r="Y47" s="31" t="s">
        <v>83</v>
      </c>
      <c r="Z47" s="32" t="s">
        <v>84</v>
      </c>
      <c r="AA47" s="31" t="s">
        <v>83</v>
      </c>
      <c r="AB47" s="31" t="s">
        <v>83</v>
      </c>
      <c r="AC47" s="25"/>
      <c r="AD47" s="25"/>
    </row>
    <row r="48" ht="15.75" customHeight="1">
      <c r="S48" s="29" t="s">
        <v>94</v>
      </c>
      <c r="T48" s="29" t="s">
        <v>91</v>
      </c>
      <c r="U48" s="30">
        <v>6.909444025E9</v>
      </c>
      <c r="V48" s="31" t="s">
        <v>83</v>
      </c>
      <c r="W48" s="31" t="s">
        <v>83</v>
      </c>
      <c r="X48" s="31" t="s">
        <v>83</v>
      </c>
      <c r="Y48" s="32" t="s">
        <v>84</v>
      </c>
      <c r="Z48" s="31" t="s">
        <v>83</v>
      </c>
      <c r="AA48" s="31" t="s">
        <v>83</v>
      </c>
      <c r="AB48" s="31" t="s">
        <v>83</v>
      </c>
      <c r="AC48" s="25"/>
      <c r="AD48" s="25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L12:N12"/>
    <mergeCell ref="S36:AB37"/>
    <mergeCell ref="S38:U3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  <col customWidth="1" min="7" max="7" width="14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5</v>
      </c>
      <c r="H1" s="1" t="s">
        <v>7</v>
      </c>
      <c r="I1" s="1" t="s">
        <v>8</v>
      </c>
      <c r="J1" s="1" t="s">
        <v>9</v>
      </c>
    </row>
    <row r="2" ht="15.75" customHeight="1">
      <c r="A2" s="2" t="s">
        <v>11</v>
      </c>
      <c r="B2" s="2">
        <v>24861.0</v>
      </c>
      <c r="C2" s="2">
        <v>4024.0</v>
      </c>
      <c r="D2" s="2">
        <v>10524.0</v>
      </c>
      <c r="E2" s="2">
        <v>10313.0</v>
      </c>
      <c r="F2" s="2">
        <v>1197.0</v>
      </c>
      <c r="G2" s="2">
        <v>9116.0</v>
      </c>
      <c r="H2" s="2">
        <v>23.38</v>
      </c>
      <c r="I2" s="2">
        <f t="shared" ref="I2:I32" si="1">sum(C2+D2+F2+G2)</f>
        <v>24861</v>
      </c>
      <c r="J2" s="2" t="s">
        <v>12</v>
      </c>
    </row>
    <row r="3" ht="15.75" customHeight="1">
      <c r="A3" s="2" t="s">
        <v>16</v>
      </c>
      <c r="B3" s="2">
        <v>33191.0</v>
      </c>
      <c r="C3" s="2">
        <v>7378.0</v>
      </c>
      <c r="D3" s="2">
        <v>19774.0</v>
      </c>
      <c r="E3" s="2">
        <v>6039.0</v>
      </c>
      <c r="F3" s="2">
        <v>1644.0</v>
      </c>
      <c r="G3" s="2">
        <v>4395.0</v>
      </c>
      <c r="H3" s="2">
        <v>39.17</v>
      </c>
      <c r="I3" s="2">
        <f t="shared" si="1"/>
        <v>33191</v>
      </c>
      <c r="J3" s="2" t="s">
        <v>12</v>
      </c>
    </row>
    <row r="4" ht="15.75" customHeight="1">
      <c r="A4" s="2" t="s">
        <v>20</v>
      </c>
      <c r="B4" s="2">
        <v>23375.0</v>
      </c>
      <c r="C4" s="2">
        <v>6241.0</v>
      </c>
      <c r="D4" s="2">
        <v>9298.0</v>
      </c>
      <c r="E4" s="2">
        <v>7836.0</v>
      </c>
      <c r="F4" s="2">
        <v>320.0</v>
      </c>
      <c r="G4" s="2">
        <v>7516.0</v>
      </c>
      <c r="H4" s="2">
        <v>6.51</v>
      </c>
      <c r="I4" s="2">
        <f t="shared" si="1"/>
        <v>23375</v>
      </c>
      <c r="J4" s="2" t="s">
        <v>12</v>
      </c>
    </row>
    <row r="5" ht="15.75" customHeight="1">
      <c r="A5" s="2" t="s">
        <v>22</v>
      </c>
      <c r="B5" s="2">
        <v>31197.0</v>
      </c>
      <c r="C5" s="2">
        <v>7470.0</v>
      </c>
      <c r="D5" s="2">
        <v>16709.0</v>
      </c>
      <c r="E5" s="2">
        <v>7018.0</v>
      </c>
      <c r="F5" s="2">
        <v>690.0</v>
      </c>
      <c r="G5" s="2">
        <v>6328.0</v>
      </c>
      <c r="H5" s="2">
        <v>12.01</v>
      </c>
      <c r="I5" s="2">
        <f t="shared" si="1"/>
        <v>31197</v>
      </c>
      <c r="J5" s="2" t="s">
        <v>12</v>
      </c>
    </row>
    <row r="6" ht="15.75" customHeight="1">
      <c r="A6" s="2" t="s">
        <v>26</v>
      </c>
      <c r="B6" s="2">
        <v>27596.0</v>
      </c>
      <c r="C6" s="2">
        <v>7934.0</v>
      </c>
      <c r="D6" s="2">
        <v>13861.0</v>
      </c>
      <c r="E6" s="2">
        <v>5801.0</v>
      </c>
      <c r="F6" s="2">
        <v>2000.0</v>
      </c>
      <c r="G6" s="2">
        <v>3801.0</v>
      </c>
      <c r="H6" s="2">
        <v>7.86</v>
      </c>
      <c r="I6" s="2">
        <f t="shared" si="1"/>
        <v>27596</v>
      </c>
      <c r="J6" s="2" t="s">
        <v>12</v>
      </c>
      <c r="L6" s="6"/>
    </row>
    <row r="7" ht="15.75" customHeight="1">
      <c r="A7" s="2" t="s">
        <v>31</v>
      </c>
      <c r="B7" s="2">
        <v>54307.0</v>
      </c>
      <c r="C7" s="2">
        <v>12083.0</v>
      </c>
      <c r="D7" s="2">
        <v>33995.0</v>
      </c>
      <c r="E7" s="2">
        <v>8229.0</v>
      </c>
      <c r="F7" s="2">
        <v>1400.0</v>
      </c>
      <c r="G7" s="2">
        <v>6829.0</v>
      </c>
      <c r="H7" s="2">
        <v>92.98</v>
      </c>
      <c r="I7" s="2">
        <f t="shared" si="1"/>
        <v>54307</v>
      </c>
      <c r="J7" s="2" t="s">
        <v>12</v>
      </c>
      <c r="L7" s="6"/>
    </row>
    <row r="8" ht="15.75" customHeight="1">
      <c r="A8" s="2" t="s">
        <v>35</v>
      </c>
      <c r="B8" s="2">
        <v>56826.0</v>
      </c>
      <c r="C8" s="2">
        <v>10314.0</v>
      </c>
      <c r="D8" s="2">
        <v>34294.0</v>
      </c>
      <c r="E8" s="2">
        <v>12218.0</v>
      </c>
      <c r="F8" s="2">
        <v>845.0</v>
      </c>
      <c r="G8" s="2">
        <v>11373.0</v>
      </c>
      <c r="H8" s="2">
        <v>84.97</v>
      </c>
      <c r="I8" s="2">
        <f t="shared" si="1"/>
        <v>56826</v>
      </c>
      <c r="J8" s="2" t="s">
        <v>12</v>
      </c>
      <c r="L8" s="6"/>
    </row>
    <row r="9" ht="15.75" customHeight="1">
      <c r="A9" s="2" t="s">
        <v>38</v>
      </c>
      <c r="B9" s="2">
        <v>25835.0</v>
      </c>
      <c r="C9" s="2">
        <v>5448.0</v>
      </c>
      <c r="D9" s="2">
        <v>11785.0</v>
      </c>
      <c r="E9" s="2">
        <v>8602.0</v>
      </c>
      <c r="F9" s="2">
        <v>3956.0</v>
      </c>
      <c r="G9" s="2">
        <v>4646.0</v>
      </c>
      <c r="H9" s="2">
        <v>18.78</v>
      </c>
      <c r="I9" s="2">
        <f t="shared" si="1"/>
        <v>25835</v>
      </c>
      <c r="J9" s="2" t="s">
        <v>12</v>
      </c>
      <c r="L9" s="7"/>
    </row>
    <row r="10" ht="15.75" customHeight="1">
      <c r="A10" s="2" t="s">
        <v>42</v>
      </c>
      <c r="B10" s="2">
        <v>27818.0</v>
      </c>
      <c r="C10" s="2">
        <v>5389.0</v>
      </c>
      <c r="D10" s="2">
        <v>17469.0</v>
      </c>
      <c r="E10" s="2">
        <v>4960.0</v>
      </c>
      <c r="F10" s="2">
        <v>288.0</v>
      </c>
      <c r="G10" s="2">
        <v>4672.0</v>
      </c>
      <c r="H10" s="2">
        <v>14.07</v>
      </c>
      <c r="I10" s="2">
        <f t="shared" si="1"/>
        <v>27818</v>
      </c>
      <c r="J10" s="2" t="s">
        <v>12</v>
      </c>
      <c r="L10" s="6"/>
    </row>
    <row r="11" ht="15.75" customHeight="1">
      <c r="A11" s="2" t="s">
        <v>45</v>
      </c>
      <c r="B11" s="2">
        <v>33784.0</v>
      </c>
      <c r="C11" s="2">
        <v>9416.0</v>
      </c>
      <c r="D11" s="2">
        <v>16671.0</v>
      </c>
      <c r="E11" s="2">
        <v>7697.0</v>
      </c>
      <c r="F11" s="2">
        <v>306.0</v>
      </c>
      <c r="G11" s="2">
        <v>7391.0</v>
      </c>
      <c r="H11" s="2">
        <v>12.05</v>
      </c>
      <c r="I11" s="2">
        <f t="shared" si="1"/>
        <v>33784</v>
      </c>
      <c r="J11" s="2" t="s">
        <v>12</v>
      </c>
      <c r="L11" s="6"/>
    </row>
    <row r="12" ht="15.75" customHeight="1">
      <c r="A12" s="2" t="s">
        <v>46</v>
      </c>
      <c r="B12" s="2">
        <v>32200.0</v>
      </c>
      <c r="C12" s="2">
        <v>8289.0</v>
      </c>
      <c r="D12" s="2">
        <v>16961.0</v>
      </c>
      <c r="E12" s="2">
        <v>6950.0</v>
      </c>
      <c r="F12" s="2">
        <v>281.0</v>
      </c>
      <c r="G12" s="2">
        <v>6669.0</v>
      </c>
      <c r="H12" s="2">
        <v>9.3</v>
      </c>
      <c r="I12" s="2">
        <f t="shared" si="1"/>
        <v>32200</v>
      </c>
      <c r="J12" s="2" t="s">
        <v>12</v>
      </c>
    </row>
    <row r="13" ht="15.75" customHeight="1">
      <c r="A13" s="2" t="s">
        <v>47</v>
      </c>
      <c r="B13" s="2">
        <v>30778.0</v>
      </c>
      <c r="C13" s="2">
        <v>6703.0</v>
      </c>
      <c r="D13" s="2">
        <v>15028.0</v>
      </c>
      <c r="E13" s="2">
        <v>9047.0</v>
      </c>
      <c r="F13" s="2">
        <v>810.0</v>
      </c>
      <c r="G13" s="8">
        <v>8237.0</v>
      </c>
      <c r="H13" s="2">
        <v>16.02</v>
      </c>
      <c r="I13" s="2">
        <f t="shared" si="1"/>
        <v>30778</v>
      </c>
      <c r="J13" s="2" t="s">
        <v>12</v>
      </c>
    </row>
    <row r="14" ht="15.75" customHeight="1">
      <c r="A14" s="2" t="s">
        <v>49</v>
      </c>
      <c r="B14" s="2">
        <v>50002.0</v>
      </c>
      <c r="C14" s="2">
        <v>11335.0</v>
      </c>
      <c r="D14" s="2">
        <v>24216.0</v>
      </c>
      <c r="E14" s="2">
        <v>14451.0</v>
      </c>
      <c r="F14" s="2">
        <v>1504.0</v>
      </c>
      <c r="G14" s="2">
        <v>12947.0</v>
      </c>
      <c r="H14" s="2">
        <v>33.22</v>
      </c>
      <c r="I14" s="2">
        <f t="shared" si="1"/>
        <v>50002</v>
      </c>
      <c r="J14" s="2" t="s">
        <v>12</v>
      </c>
    </row>
    <row r="15" ht="15.75" customHeight="1">
      <c r="A15" s="2" t="s">
        <v>50</v>
      </c>
      <c r="B15" s="2">
        <v>55022.0</v>
      </c>
      <c r="C15" s="2">
        <v>8557.0</v>
      </c>
      <c r="D15" s="2">
        <v>28288.0</v>
      </c>
      <c r="E15" s="2">
        <v>18177.0</v>
      </c>
      <c r="F15" s="2">
        <v>453.0</v>
      </c>
      <c r="G15" s="2">
        <v>17724.0</v>
      </c>
      <c r="H15" s="2">
        <v>62.49</v>
      </c>
      <c r="I15" s="2">
        <f t="shared" si="1"/>
        <v>55022</v>
      </c>
      <c r="J15" s="2" t="s">
        <v>12</v>
      </c>
      <c r="K15" s="4">
        <v>350.0</v>
      </c>
    </row>
    <row r="16" ht="15.75" customHeight="1">
      <c r="A16" s="2" t="s">
        <v>51</v>
      </c>
      <c r="B16" s="2">
        <v>33307.0</v>
      </c>
      <c r="C16" s="2">
        <v>9752.0</v>
      </c>
      <c r="D16" s="2">
        <v>16738.0</v>
      </c>
      <c r="E16" s="2">
        <v>6817.0</v>
      </c>
      <c r="F16" s="2">
        <v>678.0</v>
      </c>
      <c r="G16" s="2">
        <v>6139.0</v>
      </c>
      <c r="H16" s="2">
        <v>84.28</v>
      </c>
      <c r="I16" s="2">
        <f t="shared" si="1"/>
        <v>33307</v>
      </c>
      <c r="J16" s="2" t="s">
        <v>12</v>
      </c>
      <c r="K16" s="4">
        <v>41.0</v>
      </c>
    </row>
    <row r="17" ht="15.75" customHeight="1">
      <c r="A17" s="2" t="s">
        <v>53</v>
      </c>
      <c r="B17" s="2">
        <v>26478.0</v>
      </c>
      <c r="C17" s="2">
        <v>5780.0</v>
      </c>
      <c r="D17" s="2">
        <v>11149.0</v>
      </c>
      <c r="E17" s="2">
        <v>9549.0</v>
      </c>
      <c r="F17" s="2">
        <v>2281.0</v>
      </c>
      <c r="G17" s="2">
        <v>7268.0</v>
      </c>
      <c r="H17" s="2">
        <v>35.47</v>
      </c>
      <c r="I17" s="2">
        <f t="shared" si="1"/>
        <v>26478</v>
      </c>
      <c r="J17" s="2" t="s">
        <v>12</v>
      </c>
      <c r="K17" s="4">
        <v>70.0</v>
      </c>
    </row>
    <row r="18" ht="15.75" customHeight="1">
      <c r="A18" s="2" t="s">
        <v>54</v>
      </c>
      <c r="B18" s="2">
        <v>35485.0</v>
      </c>
      <c r="C18" s="2">
        <v>7273.0</v>
      </c>
      <c r="D18" s="2">
        <v>20560.0</v>
      </c>
      <c r="E18" s="2">
        <v>7652.0</v>
      </c>
      <c r="F18" s="2">
        <v>603.0</v>
      </c>
      <c r="G18" s="2">
        <v>7049.0</v>
      </c>
      <c r="H18" s="2">
        <v>36.78</v>
      </c>
      <c r="I18" s="2">
        <f t="shared" si="1"/>
        <v>35485</v>
      </c>
      <c r="J18" s="2" t="s">
        <v>12</v>
      </c>
      <c r="K18" s="4">
        <v>941.0</v>
      </c>
      <c r="L18" s="4" t="s">
        <v>55</v>
      </c>
    </row>
    <row r="19" ht="15.75" customHeight="1">
      <c r="A19" s="2" t="s">
        <v>56</v>
      </c>
      <c r="B19" s="2">
        <v>23427.0</v>
      </c>
      <c r="C19" s="2">
        <v>4990.0</v>
      </c>
      <c r="D19" s="2">
        <v>10244.0</v>
      </c>
      <c r="E19" s="2">
        <v>8193.0</v>
      </c>
      <c r="F19" s="2">
        <v>910.0</v>
      </c>
      <c r="G19" s="2">
        <v>7283.0</v>
      </c>
      <c r="H19" s="2">
        <v>87.37</v>
      </c>
      <c r="I19" s="2">
        <f t="shared" si="1"/>
        <v>23427</v>
      </c>
      <c r="J19" s="2" t="s">
        <v>12</v>
      </c>
    </row>
    <row r="20" ht="15.75" customHeight="1">
      <c r="A20" s="2" t="s">
        <v>57</v>
      </c>
      <c r="B20" s="2">
        <v>32579.0</v>
      </c>
      <c r="C20" s="2">
        <v>8521.0</v>
      </c>
      <c r="D20" s="2">
        <v>15889.0</v>
      </c>
      <c r="E20" s="2">
        <v>8169.0</v>
      </c>
      <c r="F20" s="2">
        <v>405.0</v>
      </c>
      <c r="G20" s="2">
        <v>7764.0</v>
      </c>
      <c r="H20" s="2">
        <v>10.86</v>
      </c>
      <c r="I20" s="2">
        <f t="shared" si="1"/>
        <v>32579</v>
      </c>
      <c r="J20" s="2" t="s">
        <v>12</v>
      </c>
    </row>
    <row r="21" ht="15.75" customHeight="1">
      <c r="A21" s="2" t="s">
        <v>13</v>
      </c>
      <c r="B21" s="2">
        <v>42203.0</v>
      </c>
      <c r="C21" s="2">
        <v>7365.0</v>
      </c>
      <c r="D21" s="2">
        <v>22574.0</v>
      </c>
      <c r="E21" s="2">
        <v>12264.0</v>
      </c>
      <c r="F21" s="2">
        <v>266.0</v>
      </c>
      <c r="G21" s="2">
        <v>11998.0</v>
      </c>
      <c r="H21" s="2">
        <v>64.82</v>
      </c>
      <c r="I21" s="2">
        <f t="shared" si="1"/>
        <v>42203</v>
      </c>
      <c r="J21" s="2" t="s">
        <v>12</v>
      </c>
      <c r="K21" s="4">
        <v>6.0</v>
      </c>
    </row>
    <row r="22" ht="15.75" customHeight="1">
      <c r="A22" s="2" t="s">
        <v>14</v>
      </c>
      <c r="B22" s="2">
        <v>63558.0</v>
      </c>
      <c r="C22" s="2">
        <v>11545.0</v>
      </c>
      <c r="D22" s="2">
        <v>36984.0</v>
      </c>
      <c r="E22" s="2">
        <v>15029.0</v>
      </c>
      <c r="F22" s="2">
        <v>1162.0</v>
      </c>
      <c r="G22" s="2">
        <v>13867.0</v>
      </c>
      <c r="H22" s="2">
        <v>89.25</v>
      </c>
      <c r="I22" s="2">
        <f t="shared" si="1"/>
        <v>63558</v>
      </c>
      <c r="J22" s="2" t="s">
        <v>12</v>
      </c>
    </row>
    <row r="23" ht="15.75" customHeight="1">
      <c r="A23" s="2" t="s">
        <v>17</v>
      </c>
      <c r="B23" s="2">
        <v>35972.0</v>
      </c>
      <c r="C23" s="2">
        <v>10686.0</v>
      </c>
      <c r="D23" s="2">
        <v>17941.0</v>
      </c>
      <c r="E23" s="2">
        <v>7345.0</v>
      </c>
      <c r="F23" s="2">
        <v>292.0</v>
      </c>
      <c r="G23" s="2">
        <v>7053.0</v>
      </c>
      <c r="H23" s="2">
        <v>23.04</v>
      </c>
      <c r="I23" s="2">
        <f t="shared" si="1"/>
        <v>35972</v>
      </c>
      <c r="J23" s="2" t="s">
        <v>12</v>
      </c>
    </row>
    <row r="24" ht="15.75" customHeight="1">
      <c r="A24" s="2" t="s">
        <v>19</v>
      </c>
      <c r="B24" s="2">
        <v>33495.0</v>
      </c>
      <c r="C24" s="2">
        <v>6740.0</v>
      </c>
      <c r="D24" s="2">
        <v>16667.0</v>
      </c>
      <c r="E24" s="2">
        <v>10088.0</v>
      </c>
      <c r="F24" s="2">
        <v>690.0</v>
      </c>
      <c r="G24" s="2">
        <v>9398.0</v>
      </c>
      <c r="H24" s="2">
        <v>28.54</v>
      </c>
      <c r="I24" s="2">
        <f t="shared" si="1"/>
        <v>33495</v>
      </c>
      <c r="J24" s="2" t="s">
        <v>12</v>
      </c>
    </row>
    <row r="25" ht="15.75" customHeight="1">
      <c r="A25" s="2" t="s">
        <v>23</v>
      </c>
      <c r="B25" s="2">
        <v>34324.0</v>
      </c>
      <c r="C25" s="2">
        <v>10202.0</v>
      </c>
      <c r="D25" s="2">
        <v>18028.0</v>
      </c>
      <c r="E25" s="2">
        <v>6094.0</v>
      </c>
      <c r="F25" s="2">
        <v>729.0</v>
      </c>
      <c r="G25" s="2">
        <v>5365.0</v>
      </c>
      <c r="H25" s="2">
        <v>2.68</v>
      </c>
      <c r="I25" s="2">
        <f t="shared" si="1"/>
        <v>34324</v>
      </c>
      <c r="J25" s="2" t="s">
        <v>12</v>
      </c>
    </row>
    <row r="26" ht="15.75" customHeight="1">
      <c r="A26" s="2" t="s">
        <v>27</v>
      </c>
      <c r="B26" s="2">
        <v>45796.0</v>
      </c>
      <c r="C26" s="2">
        <v>6601.0</v>
      </c>
      <c r="D26" s="2">
        <v>29799.0</v>
      </c>
      <c r="E26" s="2">
        <v>9396.0</v>
      </c>
      <c r="F26" s="2">
        <v>483.0</v>
      </c>
      <c r="G26" s="2">
        <v>8913.0</v>
      </c>
      <c r="H26" s="2">
        <v>124.17</v>
      </c>
      <c r="I26" s="2">
        <f t="shared" si="1"/>
        <v>45796</v>
      </c>
      <c r="J26" s="2" t="s">
        <v>12</v>
      </c>
      <c r="L26" s="4">
        <v>23321.0</v>
      </c>
    </row>
    <row r="27" ht="15.75" customHeight="1">
      <c r="A27" s="2" t="s">
        <v>28</v>
      </c>
      <c r="B27" s="2">
        <v>32100.0</v>
      </c>
      <c r="C27" s="2">
        <v>7944.0</v>
      </c>
      <c r="D27" s="2">
        <v>17591.0</v>
      </c>
      <c r="E27" s="2">
        <v>6595.0</v>
      </c>
      <c r="F27" s="2">
        <v>481.0</v>
      </c>
      <c r="G27" s="2">
        <v>6084.0</v>
      </c>
      <c r="H27" s="2">
        <v>54.71</v>
      </c>
      <c r="I27" s="2">
        <f t="shared" si="1"/>
        <v>32100</v>
      </c>
      <c r="J27" s="2"/>
      <c r="L27" s="4">
        <v>-29634.0</v>
      </c>
    </row>
    <row r="28" ht="15.75" customHeight="1">
      <c r="A28" s="2" t="s">
        <v>32</v>
      </c>
      <c r="B28" s="2">
        <v>49972.0</v>
      </c>
      <c r="C28" s="2">
        <v>11289.0</v>
      </c>
      <c r="D28" s="2">
        <v>29512.0</v>
      </c>
      <c r="E28" s="2">
        <v>9171.0</v>
      </c>
      <c r="F28" s="2">
        <v>352.0</v>
      </c>
      <c r="G28" s="2">
        <v>8819.0</v>
      </c>
      <c r="H28" s="2">
        <v>84.0</v>
      </c>
      <c r="I28" s="2">
        <f t="shared" si="1"/>
        <v>49972</v>
      </c>
      <c r="J28" s="2" t="s">
        <v>40</v>
      </c>
    </row>
    <row r="29" ht="15.75" customHeight="1">
      <c r="A29" s="2" t="s">
        <v>36</v>
      </c>
      <c r="B29" s="2">
        <v>58604.0</v>
      </c>
      <c r="C29" s="2">
        <v>8520.0</v>
      </c>
      <c r="D29" s="2">
        <v>35356.0</v>
      </c>
      <c r="E29" s="2">
        <v>14728.0</v>
      </c>
      <c r="F29" s="2">
        <v>2750.0</v>
      </c>
      <c r="G29" s="2">
        <v>11978.0</v>
      </c>
      <c r="H29" s="2">
        <v>111.41</v>
      </c>
      <c r="I29" s="2">
        <f t="shared" si="1"/>
        <v>58604</v>
      </c>
      <c r="J29" s="2"/>
    </row>
    <row r="30" ht="15.75" customHeight="1">
      <c r="A30" s="2" t="s">
        <v>39</v>
      </c>
      <c r="B30" s="2">
        <v>30552.0</v>
      </c>
      <c r="C30" s="2">
        <v>6132.0</v>
      </c>
      <c r="D30" s="2">
        <v>15758.0</v>
      </c>
      <c r="E30" s="2">
        <v>8662.0</v>
      </c>
      <c r="F30" s="2">
        <v>849.0</v>
      </c>
      <c r="G30" s="2">
        <v>7813.0</v>
      </c>
      <c r="H30" s="2">
        <v>18.32</v>
      </c>
      <c r="I30" s="2">
        <f t="shared" si="1"/>
        <v>30552</v>
      </c>
      <c r="J30" s="2"/>
    </row>
    <row r="31" ht="15.75" customHeight="1">
      <c r="A31" s="2" t="s">
        <v>41</v>
      </c>
      <c r="B31" s="2">
        <v>36969.0</v>
      </c>
      <c r="C31" s="2">
        <v>5022.0</v>
      </c>
      <c r="D31" s="2">
        <v>21054.0</v>
      </c>
      <c r="E31" s="2">
        <v>10893.0</v>
      </c>
      <c r="F31" s="2">
        <v>301.0</v>
      </c>
      <c r="G31" s="2">
        <v>10592.0</v>
      </c>
      <c r="H31" s="2">
        <v>33.69</v>
      </c>
      <c r="I31" s="2">
        <f t="shared" si="1"/>
        <v>36969</v>
      </c>
      <c r="J31" s="2"/>
    </row>
    <row r="32" ht="15.75" customHeight="1">
      <c r="A32" s="2" t="s">
        <v>44</v>
      </c>
      <c r="B32" s="2">
        <v>58296.0</v>
      </c>
      <c r="C32" s="2">
        <v>17692.0</v>
      </c>
      <c r="D32" s="2">
        <v>24243.0</v>
      </c>
      <c r="E32" s="2">
        <v>16361.0</v>
      </c>
      <c r="F32" s="2">
        <v>708.0</v>
      </c>
      <c r="G32" s="2">
        <v>15653.0</v>
      </c>
      <c r="H32" s="2">
        <v>30.01</v>
      </c>
      <c r="I32" s="2">
        <f t="shared" si="1"/>
        <v>58296</v>
      </c>
      <c r="J32" s="2" t="s">
        <v>63</v>
      </c>
    </row>
    <row r="33" ht="15.75" customHeight="1">
      <c r="A33" s="23"/>
      <c r="B33" s="23">
        <f t="shared" ref="B33:H33" si="2">SUM(B2:B32)</f>
        <v>1179909</v>
      </c>
      <c r="C33" s="23">
        <f t="shared" si="2"/>
        <v>256635</v>
      </c>
      <c r="D33" s="23">
        <f t="shared" si="2"/>
        <v>628960</v>
      </c>
      <c r="E33" s="23">
        <f t="shared" si="2"/>
        <v>294344</v>
      </c>
      <c r="F33" s="23">
        <f t="shared" si="2"/>
        <v>29634</v>
      </c>
      <c r="G33" s="23">
        <f t="shared" si="2"/>
        <v>264680</v>
      </c>
      <c r="H33" s="23">
        <f t="shared" si="2"/>
        <v>1352.21</v>
      </c>
      <c r="I33" s="23">
        <f>SUM(I2:I31)</f>
        <v>1121613</v>
      </c>
      <c r="J33" s="23">
        <f>SUM(J2:J32)</f>
        <v>0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