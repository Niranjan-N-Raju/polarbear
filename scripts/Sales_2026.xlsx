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January" sheetId="2" r:id="rId5"/>
    <sheet state="visible" name="February" sheetId="3" r:id="rId6"/>
    <sheet state="visible" name="March" sheetId="4" r:id="rId7"/>
    <sheet state="visible" name="April" sheetId="5" r:id="rId8"/>
    <sheet state="visible" name="May" sheetId="6" r:id="rId9"/>
    <sheet state="visible" name="June" sheetId="7" r:id="rId10"/>
    <sheet state="visible" name="July" sheetId="8" r:id="rId11"/>
    <sheet state="visible" name="August" sheetId="9" r:id="rId12"/>
    <sheet state="visible" name="September" sheetId="10" r:id="rId13"/>
  </sheets>
  <definedNames/>
  <calcPr/>
  <extLst>
    <ext uri="GoogleSheetsCustomDataVersion2">
      <go:sheetsCustomData xmlns:go="http://customooxmlschemas.google.com/" r:id="rId14" roundtripDataChecksum="JPfujscpek1rltg4mu/lFsE5tDm3KAaslUoYd3jwLzc="/>
    </ext>
  </extLst>
</workbook>
</file>

<file path=xl/sharedStrings.xml><?xml version="1.0" encoding="utf-8"?>
<sst xmlns="http://schemas.openxmlformats.org/spreadsheetml/2006/main" count="1815" uniqueCount="256">
  <si>
    <t>Month</t>
  </si>
  <si>
    <t>Date</t>
  </si>
  <si>
    <t>Sales</t>
  </si>
  <si>
    <t>Profit</t>
  </si>
  <si>
    <t>Profit %</t>
  </si>
  <si>
    <t>Sale</t>
  </si>
  <si>
    <t>Swiggy/Zomato</t>
  </si>
  <si>
    <t>January</t>
  </si>
  <si>
    <t>Paytm</t>
  </si>
  <si>
    <t>Cash</t>
  </si>
  <si>
    <t>Expenses</t>
  </si>
  <si>
    <t>Handover cash</t>
  </si>
  <si>
    <t>Charges</t>
  </si>
  <si>
    <t>Total</t>
  </si>
  <si>
    <t>Comments</t>
  </si>
  <si>
    <t>Amount</t>
  </si>
  <si>
    <t>1st</t>
  </si>
  <si>
    <t>February</t>
  </si>
  <si>
    <t>March</t>
  </si>
  <si>
    <t>April</t>
  </si>
  <si>
    <t>Fine</t>
  </si>
  <si>
    <t>May</t>
  </si>
  <si>
    <t>Fruits</t>
  </si>
  <si>
    <t>11th</t>
  </si>
  <si>
    <t>Strawberry</t>
  </si>
  <si>
    <t>26th</t>
  </si>
  <si>
    <t>June</t>
  </si>
  <si>
    <t>15th</t>
  </si>
  <si>
    <t>2nd</t>
  </si>
  <si>
    <t>July</t>
  </si>
  <si>
    <t>Note books</t>
  </si>
  <si>
    <t>16th</t>
  </si>
  <si>
    <t>August</t>
  </si>
  <si>
    <t>3rd</t>
  </si>
  <si>
    <t>Blender</t>
  </si>
  <si>
    <t>Mint leaves</t>
  </si>
  <si>
    <t>September</t>
  </si>
  <si>
    <t>First aid medications</t>
  </si>
  <si>
    <t>Water tanker</t>
  </si>
  <si>
    <t>Unisex</t>
  </si>
  <si>
    <t>4th</t>
  </si>
  <si>
    <t>October</t>
  </si>
  <si>
    <t>Petrol - Krishna</t>
  </si>
  <si>
    <t>November</t>
  </si>
  <si>
    <t>Expense difference on 100 rs</t>
  </si>
  <si>
    <t>December</t>
  </si>
  <si>
    <t>17th</t>
  </si>
  <si>
    <t>5th</t>
  </si>
  <si>
    <t>Garbage</t>
  </si>
  <si>
    <t>27th</t>
  </si>
  <si>
    <t>Petrol for bibin</t>
  </si>
  <si>
    <t>18th</t>
  </si>
  <si>
    <t>6th</t>
  </si>
  <si>
    <t>Change commission</t>
  </si>
  <si>
    <t>Mint</t>
  </si>
  <si>
    <t>Cleaning brush</t>
  </si>
  <si>
    <t>7th</t>
  </si>
  <si>
    <t>19th</t>
  </si>
  <si>
    <t>Watercan</t>
  </si>
  <si>
    <t>12th</t>
  </si>
  <si>
    <t>8th</t>
  </si>
  <si>
    <t>Soldering</t>
  </si>
  <si>
    <t>20th</t>
  </si>
  <si>
    <t>Perk</t>
  </si>
  <si>
    <t>9th</t>
  </si>
  <si>
    <t>28th</t>
  </si>
  <si>
    <t>Print out</t>
  </si>
  <si>
    <t>21st</t>
  </si>
  <si>
    <t>10th</t>
  </si>
  <si>
    <t>Travel charges</t>
  </si>
  <si>
    <t>13th</t>
  </si>
  <si>
    <t>Cake</t>
  </si>
  <si>
    <t>Fine - Banking 52K</t>
  </si>
  <si>
    <t>Fine - 50k Deposit done</t>
  </si>
  <si>
    <t>22nd</t>
  </si>
  <si>
    <t>14th</t>
  </si>
  <si>
    <t>Jatre</t>
  </si>
  <si>
    <t>23rd</t>
  </si>
  <si>
    <t>Electrician</t>
  </si>
  <si>
    <t>Fine, 70K banking done</t>
  </si>
  <si>
    <t>Wooden spoons</t>
  </si>
  <si>
    <t>Diersel</t>
  </si>
  <si>
    <t>Printout</t>
  </si>
  <si>
    <t>Banana+Pineapple</t>
  </si>
  <si>
    <t>Banking 76000</t>
  </si>
  <si>
    <t>Shutter repair</t>
  </si>
  <si>
    <t>Garbage collector</t>
  </si>
  <si>
    <t>Done</t>
  </si>
  <si>
    <t>24th</t>
  </si>
  <si>
    <t>Stationary</t>
  </si>
  <si>
    <t>Fevicol</t>
  </si>
  <si>
    <t>Done - 311 excess, Banking 35K</t>
  </si>
  <si>
    <t>Fine - 57k Deposit done</t>
  </si>
  <si>
    <t>Thinner</t>
  </si>
  <si>
    <t>Fevikwick</t>
  </si>
  <si>
    <t>Police</t>
  </si>
  <si>
    <t>Spirit</t>
  </si>
  <si>
    <t>Diesel</t>
  </si>
  <si>
    <t>25th</t>
  </si>
  <si>
    <t>Mseal</t>
  </si>
  <si>
    <t>Medical Charges</t>
  </si>
  <si>
    <t>29th</t>
  </si>
  <si>
    <t>Marker</t>
  </si>
  <si>
    <t>Fine - 57K banking done</t>
  </si>
  <si>
    <t>Bill book</t>
  </si>
  <si>
    <t>Ladder</t>
  </si>
  <si>
    <t>Carbon paper</t>
  </si>
  <si>
    <t>RTP print out</t>
  </si>
  <si>
    <t>Fine - 30K cash received</t>
  </si>
  <si>
    <t>Markers</t>
  </si>
  <si>
    <t>30th</t>
  </si>
  <si>
    <t>50Rs Extra</t>
  </si>
  <si>
    <t>Water can</t>
  </si>
  <si>
    <t>AC Person</t>
  </si>
  <si>
    <t>Swiggy</t>
  </si>
  <si>
    <t>Zomato</t>
  </si>
  <si>
    <t>Socket - Bain</t>
  </si>
  <si>
    <t>Fine - Banking 35000</t>
  </si>
  <si>
    <t>Online Percentage</t>
  </si>
  <si>
    <t>Freezer transportation</t>
  </si>
  <si>
    <t>Wire</t>
  </si>
  <si>
    <t>31st</t>
  </si>
  <si>
    <t>Apple</t>
  </si>
  <si>
    <t>Fine, 727 excess</t>
  </si>
  <si>
    <t>Bus charge</t>
  </si>
  <si>
    <t>Sankranthi decorations and fruits</t>
  </si>
  <si>
    <t>Fine, 4712(Dairy day)</t>
  </si>
  <si>
    <t>Transportation</t>
  </si>
  <si>
    <t>Petrol</t>
  </si>
  <si>
    <t>Fine, received 89 extra</t>
  </si>
  <si>
    <t>90 rs short</t>
  </si>
  <si>
    <t>Tanker</t>
  </si>
  <si>
    <t>Manager</t>
  </si>
  <si>
    <t>649 short</t>
  </si>
  <si>
    <t>Apple &amp; Pine apple</t>
  </si>
  <si>
    <t>Fine - 59K banking done</t>
  </si>
  <si>
    <t>Fine - above 2 also settled, 80K deposited</t>
  </si>
  <si>
    <t>Chart lamination</t>
  </si>
  <si>
    <t>Banana</t>
  </si>
  <si>
    <t>Travel exoense</t>
  </si>
  <si>
    <t>Food</t>
  </si>
  <si>
    <t>Waterman</t>
  </si>
  <si>
    <t>Mango</t>
  </si>
  <si>
    <t>Fine, extra 7041 to be given</t>
  </si>
  <si>
    <t>Diesel transportation</t>
  </si>
  <si>
    <t>Rubber band</t>
  </si>
  <si>
    <t>Fine - 99k banking done</t>
  </si>
  <si>
    <t>Generator service</t>
  </si>
  <si>
    <t>Filter water</t>
  </si>
  <si>
    <t>Fine - 105K deposited</t>
  </si>
  <si>
    <t>nil</t>
  </si>
  <si>
    <t>Fine, 6671 is paid</t>
  </si>
  <si>
    <t>Shutter</t>
  </si>
  <si>
    <t>Fine - 72k banking, 30k transfer</t>
  </si>
  <si>
    <t>Transportation(Mango pulp from Naveesh)</t>
  </si>
  <si>
    <t>Fine, 500 in giftcard</t>
  </si>
  <si>
    <t>Medicines</t>
  </si>
  <si>
    <t>Fine, 6671 and 6671 is paid</t>
  </si>
  <si>
    <t>Fine, 500 in gift card, 128K deposited</t>
  </si>
  <si>
    <t>Fine, 5981 extra for mangoes</t>
  </si>
  <si>
    <t>Fine, 5751 extra for mangoes</t>
  </si>
  <si>
    <t>Fine, 99K deposited</t>
  </si>
  <si>
    <t>Local mango</t>
  </si>
  <si>
    <t>Transportation (SM)</t>
  </si>
  <si>
    <t>Bulb</t>
  </si>
  <si>
    <t>Audit expense</t>
  </si>
  <si>
    <t xml:space="preserve">Fruits </t>
  </si>
  <si>
    <t>Bus charge(Mango pulp)</t>
  </si>
  <si>
    <t>Fine, 107k deposited</t>
  </si>
  <si>
    <t>—</t>
  </si>
  <si>
    <t>Carpenter</t>
  </si>
  <si>
    <t>Fine, 500 gift card</t>
  </si>
  <si>
    <t>Broom</t>
  </si>
  <si>
    <t>Fine - 134k deposited</t>
  </si>
  <si>
    <t>Surgical spirit</t>
  </si>
  <si>
    <t>Tablet</t>
  </si>
  <si>
    <t>Pineapple</t>
  </si>
  <si>
    <t>Blood Test</t>
  </si>
  <si>
    <t xml:space="preserve">Fine </t>
  </si>
  <si>
    <t>Bus charge (meeting) -472</t>
  </si>
  <si>
    <t>94.2 (Settle now at 6:20 PM)</t>
  </si>
  <si>
    <t>Fine (settled twice)</t>
  </si>
  <si>
    <t>Petrol - SM</t>
  </si>
  <si>
    <t>Petrol charge</t>
  </si>
  <si>
    <t>Cell</t>
  </si>
  <si>
    <t>area manager expense</t>
  </si>
  <si>
    <t xml:space="preserve">Pen </t>
  </si>
  <si>
    <t>Gas welding</t>
  </si>
  <si>
    <t xml:space="preserve">Greese </t>
  </si>
  <si>
    <t xml:space="preserve">Meeting expense </t>
  </si>
  <si>
    <t>Colin</t>
  </si>
  <si>
    <t>Petrol - Fruits and naveesh</t>
  </si>
  <si>
    <t xml:space="preserve">Water Tanker </t>
  </si>
  <si>
    <t>Online</t>
  </si>
  <si>
    <t>Online %</t>
  </si>
  <si>
    <t>Under tank refine?</t>
  </si>
  <si>
    <t>Courier</t>
  </si>
  <si>
    <t>Gift card</t>
  </si>
  <si>
    <t>Batteries for remote</t>
  </si>
  <si>
    <t>Printout and Lamination</t>
  </si>
  <si>
    <t xml:space="preserve">Staff Food </t>
  </si>
  <si>
    <t>Pine Apple</t>
  </si>
  <si>
    <t>Bandaid</t>
  </si>
  <si>
    <t>Fnie</t>
  </si>
  <si>
    <t>Water man</t>
  </si>
  <si>
    <t>Petrol charges</t>
  </si>
  <si>
    <t>Mango - Local</t>
  </si>
  <si>
    <t>Washroom freshner</t>
  </si>
  <si>
    <t>Bus expense</t>
  </si>
  <si>
    <t>SM Petrol</t>
  </si>
  <si>
    <t xml:space="preserve">Mint </t>
  </si>
  <si>
    <t>Sponge</t>
  </si>
  <si>
    <t>License bribe</t>
  </si>
  <si>
    <t>Srugical spirit</t>
  </si>
  <si>
    <t>Water pipe cap</t>
  </si>
  <si>
    <t>Calculator</t>
  </si>
  <si>
    <t>500 short</t>
  </si>
  <si>
    <t>Spinge</t>
  </si>
  <si>
    <t>Rapido</t>
  </si>
  <si>
    <t>Food for staff</t>
  </si>
  <si>
    <t>Lays</t>
  </si>
  <si>
    <t>Fine, 77k deposited</t>
  </si>
  <si>
    <t>Pine apple</t>
  </si>
  <si>
    <t>Pineaple</t>
  </si>
  <si>
    <t>Hiring printout</t>
  </si>
  <si>
    <t>Expense book</t>
  </si>
  <si>
    <t>RTP printout</t>
  </si>
  <si>
    <t>Fine, 80100 deposited</t>
  </si>
  <si>
    <t>Petrol expense(Vanilla bulk)</t>
  </si>
  <si>
    <t>8rs extra in banking</t>
  </si>
  <si>
    <t>SM Meeting</t>
  </si>
  <si>
    <t>Plastic boxes</t>
  </si>
  <si>
    <t>Fine, 90400 deposit</t>
  </si>
  <si>
    <t>Fine, 776 extra</t>
  </si>
  <si>
    <t>Blinkit</t>
  </si>
  <si>
    <t>Fine, 92K dseposited</t>
  </si>
  <si>
    <t>Wooden spoon</t>
  </si>
  <si>
    <t>78700 deposited</t>
  </si>
  <si>
    <t>Tape dispenser</t>
  </si>
  <si>
    <t>Fine, 59K deposited</t>
  </si>
  <si>
    <t>Wiper</t>
  </si>
  <si>
    <t>Weigh scale certificate</t>
  </si>
  <si>
    <t>CD Marker</t>
  </si>
  <si>
    <t>Stock clear</t>
  </si>
  <si>
    <t>Charge</t>
  </si>
  <si>
    <t>61700 deposited</t>
  </si>
  <si>
    <t>License frame</t>
  </si>
  <si>
    <t>Staff</t>
  </si>
  <si>
    <t>Xerox</t>
  </si>
  <si>
    <t>Auto</t>
  </si>
  <si>
    <t>Blinkit fruits</t>
  </si>
  <si>
    <t>AC repair</t>
  </si>
  <si>
    <t>Convence - Baburam</t>
  </si>
  <si>
    <t>Hand mixer</t>
  </si>
  <si>
    <t>Others</t>
  </si>
  <si>
    <t>Dustbin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</si>
</sst>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FFFFFF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sz val="11.0"/>
      <color rgb="FF000000"/>
      <name val="'Google Sans Text'"/>
    </font>
    <font>
      <color rgb="FF212529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3" numFmtId="0" xfId="0" applyAlignment="1" applyBorder="1" applyFont="1">
      <alignment readingOrder="0"/>
    </xf>
    <xf borderId="2" fillId="2" fontId="2" numFmtId="0" xfId="0" applyBorder="1" applyFill="1" applyFont="1"/>
    <xf borderId="0" fillId="0" fontId="4" numFmtId="0" xfId="0" applyFont="1"/>
    <xf borderId="0" fillId="0" fontId="2" numFmtId="0" xfId="0" applyFont="1"/>
    <xf borderId="2" fillId="2" fontId="1" numFmtId="0" xfId="0" applyBorder="1" applyFill="1" applyFont="1"/>
    <xf borderId="2" fillId="3" fontId="5" numFmtId="0" xfId="0" applyAlignment="1" applyBorder="1" applyFill="1" applyFont="1">
      <alignment vertical="bottom"/>
    </xf>
    <xf borderId="2" fillId="0" fontId="3" numFmtId="0" xfId="0" applyBorder="1" applyFont="1"/>
    <xf borderId="2" fillId="3" fontId="5" numFmtId="0" xfId="0" applyAlignment="1" applyBorder="1" applyFill="1" applyFont="1">
      <alignment horizontal="right" vertical="bottom"/>
    </xf>
    <xf borderId="2" fillId="3" fontId="4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horizontal="right" vertical="bottom"/>
    </xf>
    <xf borderId="0" fillId="0" fontId="3" numFmtId="0" xfId="0" applyFont="1"/>
    <xf borderId="2" fillId="0" fontId="3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horizontal="right" vertical="bottom"/>
    </xf>
    <xf borderId="2" fillId="0" fontId="5" numFmtId="0" xfId="0" applyBorder="1" applyFont="1"/>
    <xf borderId="2" fillId="2" fontId="1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2" fillId="3" fontId="4" numFmtId="0" xfId="0" applyAlignment="1" applyBorder="1" applyFill="1" applyFont="1">
      <alignment horizontal="right" readingOrder="0" vertical="bottom"/>
    </xf>
    <xf borderId="2" fillId="3" fontId="4" numFmtId="0" xfId="0" applyAlignment="1" applyBorder="1" applyFill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readingOrder="0"/>
    </xf>
    <xf borderId="0" fillId="0" fontId="5" numFmtId="0" xfId="0" applyFont="1"/>
    <xf borderId="0" fillId="3" fontId="5" numFmtId="0" xfId="0" applyFill="1" applyFont="1"/>
    <xf borderId="2" fillId="2" fontId="1" numFmtId="0" xfId="0" applyAlignment="1" applyBorder="1" applyFill="1" applyFont="1">
      <alignment readingOrder="0" vertical="bottom"/>
    </xf>
    <xf borderId="2" fillId="4" fontId="4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horizontal="right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readingOrder="0"/>
    </xf>
    <xf borderId="0" fillId="3" fontId="7" numFmtId="0" xfId="0" applyAlignment="1" applyFill="1" applyFont="1">
      <alignment horizontal="right" readingOrder="0"/>
    </xf>
    <xf borderId="2" fillId="3" fontId="5" numFmtId="0" xfId="0" applyAlignment="1" applyBorder="1" applyFill="1" applyFont="1">
      <alignment readingOrder="0"/>
    </xf>
    <xf borderId="2" fillId="3" fontId="8" numFmtId="0" xfId="0" applyAlignment="1" applyBorder="1" applyFill="1" applyFont="1">
      <alignment horizontal="right" vertical="bottom"/>
    </xf>
    <xf borderId="2" fillId="5" fontId="3" numFmtId="0" xfId="0" applyAlignment="1" applyBorder="1" applyFill="1" applyFont="1">
      <alignment readingOrder="0"/>
    </xf>
    <xf borderId="2" fillId="6" fontId="3" numFmtId="0" xfId="0" applyBorder="1" applyFill="1" applyFont="1"/>
    <xf borderId="2" fillId="6" fontId="3" numFmtId="0" xfId="0" applyAlignment="1" applyBorder="1" applyFill="1" applyFont="1">
      <alignment readingOrder="0"/>
    </xf>
    <xf borderId="2" fillId="3" fontId="4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readingOrder="0"/>
    </xf>
    <xf borderId="2" fillId="3" fontId="5" numFmtId="0" xfId="0" applyAlignment="1" applyBorder="1" applyFill="1" applyFont="1">
      <alignment readingOrder="0" vertical="bottom"/>
    </xf>
    <xf borderId="2" fillId="3" fontId="3" numFmtId="0" xfId="0" applyBorder="1" applyFill="1" applyFont="1"/>
    <xf borderId="2" fillId="3" fontId="5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2" fillId="3" fontId="5" numFmtId="0" xfId="0" applyAlignment="1" applyBorder="1" applyFill="1" applyFont="1">
      <alignment horizontal="right" vertical="bottom"/>
    </xf>
    <xf borderId="2" fillId="3" fontId="5" numFmtId="0" xfId="0" applyAlignment="1" applyBorder="1" applyFill="1" applyFont="1">
      <alignment horizontal="right" readingOrder="0" vertical="bottom"/>
    </xf>
    <xf borderId="0" fillId="3" fontId="3" numFmtId="0" xfId="0" applyAlignment="1" applyFill="1" applyFont="1">
      <alignment readingOrder="0"/>
    </xf>
    <xf borderId="3" fillId="3" fontId="4" numFmtId="0" xfId="0" applyAlignment="1" applyBorder="1" applyFill="1" applyFont="1">
      <alignment readingOrder="0" vertical="bottom"/>
    </xf>
    <xf borderId="3" fillId="3" fontId="4" numFmtId="0" xfId="0" applyAlignment="1" applyBorder="1" applyFill="1" applyFont="1">
      <alignment horizontal="right" readingOrder="0" vertical="bottom"/>
    </xf>
    <xf borderId="3" fillId="3" fontId="8" numFmtId="0" xfId="0" applyAlignment="1" applyBorder="1" applyFill="1" applyFont="1">
      <alignment horizontal="right" vertical="bottom"/>
    </xf>
    <xf borderId="3" fillId="3" fontId="4" numFmtId="0" xfId="0" applyAlignment="1" applyBorder="1" applyFill="1" applyFont="1">
      <alignment horizontal="right" vertical="bottom"/>
    </xf>
    <xf borderId="4" fillId="3" fontId="4" numFmtId="0" xfId="0" applyAlignment="1" applyBorder="1" applyFill="1" applyFont="1">
      <alignment readingOrder="0" vertical="bottom"/>
    </xf>
    <xf borderId="4" fillId="3" fontId="4" numFmtId="0" xfId="0" applyAlignment="1" applyBorder="1" applyFill="1" applyFont="1">
      <alignment horizontal="right" readingOrder="0" vertical="bottom"/>
    </xf>
    <xf borderId="4" fillId="3" fontId="8" numFmtId="0" xfId="0" applyAlignment="1" applyBorder="1" applyFill="1" applyFont="1">
      <alignment horizontal="right" vertical="bottom"/>
    </xf>
    <xf borderId="4" fillId="3" fontId="4" numFmtId="0" xfId="0" applyAlignment="1" applyBorder="1" applyFill="1" applyFont="1">
      <alignment horizontal="right" vertical="bottom"/>
    </xf>
    <xf borderId="3" fillId="3" fontId="4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vertical="bottom"/>
    </xf>
    <xf borderId="4" fillId="3" fontId="5" numFmtId="0" xfId="0" applyAlignment="1" applyBorder="1" applyFill="1" applyFont="1">
      <alignment readingOrder="0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readingOrder="0" vertical="bottom"/>
    </xf>
    <xf borderId="4" fillId="0" fontId="8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C3" s="1" t="s">
        <v>0</v>
      </c>
      <c r="D3" s="1" t="s">
        <v>2</v>
      </c>
      <c r="E3" s="1" t="s">
        <v>3</v>
      </c>
      <c r="F3" s="1" t="s">
        <v>4</v>
      </c>
    </row>
    <row r="4">
      <c r="C4" s="4" t="s">
        <v>7</v>
      </c>
      <c r="D4" s="10">
        <f>January!B33</f>
        <v>1170749</v>
      </c>
      <c r="E4" s="4">
        <v>150237.0</v>
      </c>
      <c r="F4" s="14">
        <f t="shared" ref="F4:F15" si="1">round((E4/D4)*100, 0)</f>
        <v>13</v>
      </c>
    </row>
    <row r="5">
      <c r="C5" s="4" t="s">
        <v>17</v>
      </c>
      <c r="D5" s="15">
        <f>February!B30</f>
        <v>1279534</v>
      </c>
      <c r="E5" s="4">
        <v>170358.0</v>
      </c>
      <c r="F5" s="14">
        <f t="shared" si="1"/>
        <v>13</v>
      </c>
    </row>
    <row r="6">
      <c r="C6" s="4" t="s">
        <v>18</v>
      </c>
      <c r="D6" s="15">
        <f>March!B33</f>
        <v>1575673</v>
      </c>
      <c r="E6" s="4">
        <v>396406.0</v>
      </c>
      <c r="F6" s="14">
        <f t="shared" si="1"/>
        <v>25</v>
      </c>
    </row>
    <row r="7">
      <c r="C7" s="4" t="s">
        <v>19</v>
      </c>
      <c r="D7" s="15">
        <f>April!B32</f>
        <v>2113012</v>
      </c>
      <c r="E7" s="4">
        <v>574820.0</v>
      </c>
      <c r="F7" s="14">
        <f t="shared" si="1"/>
        <v>27</v>
      </c>
    </row>
    <row r="8">
      <c r="C8" s="4" t="s">
        <v>21</v>
      </c>
      <c r="D8" s="15">
        <f>May!B33</f>
        <v>2268248</v>
      </c>
      <c r="E8" s="4">
        <v>539418.0</v>
      </c>
      <c r="F8" s="14">
        <f t="shared" si="1"/>
        <v>24</v>
      </c>
    </row>
    <row r="9">
      <c r="C9" s="4" t="s">
        <v>26</v>
      </c>
      <c r="D9" s="15">
        <f>June!B32</f>
        <v>1366798</v>
      </c>
      <c r="E9" s="4">
        <v>264290.0</v>
      </c>
      <c r="F9" s="14">
        <f t="shared" si="1"/>
        <v>19</v>
      </c>
    </row>
    <row r="10">
      <c r="C10" s="4" t="s">
        <v>29</v>
      </c>
      <c r="D10" s="15">
        <f>July!B33</f>
        <v>2173608</v>
      </c>
      <c r="E10" s="4">
        <v>508379.0</v>
      </c>
      <c r="F10" s="14">
        <f t="shared" si="1"/>
        <v>23</v>
      </c>
    </row>
    <row r="11">
      <c r="C11" s="4" t="s">
        <v>32</v>
      </c>
      <c r="D11" s="15">
        <f>August!B33</f>
        <v>2204126</v>
      </c>
      <c r="E11" s="4">
        <v>518660.0</v>
      </c>
      <c r="F11" s="14">
        <f t="shared" si="1"/>
        <v>24</v>
      </c>
    </row>
    <row r="12">
      <c r="C12" s="4" t="s">
        <v>36</v>
      </c>
      <c r="D12" s="15">
        <f>September!B32</f>
        <v>1850520</v>
      </c>
      <c r="E12" s="4">
        <v>0.0</v>
      </c>
      <c r="F12" s="14">
        <f t="shared" si="1"/>
        <v>0</v>
      </c>
    </row>
    <row r="13">
      <c r="C13" s="4" t="s">
        <v>41</v>
      </c>
      <c r="D13" s="4">
        <v>0.0</v>
      </c>
      <c r="E13" s="4">
        <v>0.0</v>
      </c>
      <c r="F13" s="14" t="str">
        <f t="shared" si="1"/>
        <v>#DIV/0!</v>
      </c>
    </row>
    <row r="14">
      <c r="C14" s="4" t="s">
        <v>43</v>
      </c>
      <c r="D14" s="4">
        <v>0.0</v>
      </c>
      <c r="E14" s="4">
        <v>0.0</v>
      </c>
      <c r="F14" s="14" t="str">
        <f t="shared" si="1"/>
        <v>#DIV/0!</v>
      </c>
    </row>
    <row r="15">
      <c r="C15" s="4" t="s">
        <v>45</v>
      </c>
      <c r="D15" s="4">
        <v>0.0</v>
      </c>
      <c r="E15" s="4">
        <v>0.0</v>
      </c>
      <c r="F15" s="14" t="str">
        <f t="shared" si="1"/>
        <v>#DIV/0!</v>
      </c>
    </row>
    <row r="16">
      <c r="C16" s="15"/>
      <c r="D16" s="15"/>
      <c r="E16" s="15"/>
    </row>
    <row r="17">
      <c r="B17" s="19" t="s">
        <v>13</v>
      </c>
      <c r="C17" s="19"/>
      <c r="D17" s="19">
        <f>sum(D4:D15)</f>
        <v>16002268</v>
      </c>
      <c r="E17" s="19">
        <f>sum(E4:E16)</f>
        <v>3122568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14.75"/>
    <col customWidth="1" min="4" max="5" width="7.63"/>
    <col customWidth="1" min="6" max="6" width="9.75"/>
    <col customWidth="1" min="7" max="7" width="14.5"/>
    <col customWidth="1" min="8" max="8" width="8.5"/>
    <col customWidth="1" min="9" max="9" width="8.63"/>
    <col customWidth="1" min="10" max="10" width="22.63"/>
    <col customWidth="1" min="11" max="11" width="45.5"/>
    <col customWidth="1" min="12" max="12" width="4.75"/>
    <col customWidth="1" min="13" max="13" width="5.25"/>
    <col customWidth="1" min="14" max="14" width="25.38"/>
    <col customWidth="1" min="15" max="15" width="10.63"/>
    <col customWidth="1" min="16" max="16" width="5.63"/>
    <col customWidth="1" min="17" max="17" width="5.25"/>
    <col customWidth="1" min="18" max="18" width="15.13"/>
    <col customWidth="1" min="19" max="20" width="10.63"/>
    <col customWidth="1" min="22" max="22" width="5.25"/>
    <col customWidth="1" min="23" max="23" width="10.88"/>
    <col customWidth="1" min="24" max="24" width="10.63"/>
  </cols>
  <sheetData>
    <row r="1" ht="15.75" customHeight="1">
      <c r="A1" s="2" t="s">
        <v>1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M1" s="5" t="s">
        <v>1</v>
      </c>
      <c r="N1" s="5" t="s">
        <v>15</v>
      </c>
      <c r="O1" s="5" t="s">
        <v>14</v>
      </c>
      <c r="P1" s="7"/>
      <c r="Q1" s="5" t="s">
        <v>1</v>
      </c>
      <c r="R1" s="5" t="s">
        <v>15</v>
      </c>
      <c r="S1" s="5" t="s">
        <v>14</v>
      </c>
      <c r="T1" s="7"/>
      <c r="V1" s="7"/>
      <c r="W1" s="7"/>
      <c r="X1" s="7"/>
    </row>
    <row r="2" ht="15.75" customHeight="1">
      <c r="A2" s="9" t="s">
        <v>16</v>
      </c>
      <c r="B2" s="11">
        <v>65656.0</v>
      </c>
      <c r="C2" s="11">
        <v>13779.0</v>
      </c>
      <c r="D2" s="11">
        <v>28997.0</v>
      </c>
      <c r="E2" s="11">
        <f t="shared" ref="E2:E32" si="1">(B2-C2-D2)</f>
        <v>22880</v>
      </c>
      <c r="F2" s="11">
        <v>1006.0</v>
      </c>
      <c r="G2" s="11">
        <f t="shared" ref="G2:G32" si="2">(E2-F2)</f>
        <v>21874</v>
      </c>
      <c r="H2" s="11">
        <v>79.45</v>
      </c>
      <c r="I2" s="11">
        <f t="shared" ref="I2:I32" si="3">sum(C2+D2+F2+G2)</f>
        <v>65656</v>
      </c>
      <c r="J2" s="9" t="s">
        <v>20</v>
      </c>
      <c r="K2" s="14" t="str">
        <f>IFERROR(__xludf.DUMMYFUNCTION("AI("""")"),"The dates with the highest sales were the 1st, 25th, and 4th.")</f>
        <v>The dates with the highest sales were the 1st, 25th, and 4th.</v>
      </c>
      <c r="M2" s="18" t="s">
        <v>16</v>
      </c>
      <c r="N2" s="18" t="s">
        <v>22</v>
      </c>
      <c r="O2" s="18">
        <v>661.0</v>
      </c>
      <c r="Q2" s="18" t="s">
        <v>27</v>
      </c>
      <c r="R2" s="18" t="s">
        <v>22</v>
      </c>
      <c r="S2" s="18">
        <v>675.0</v>
      </c>
    </row>
    <row r="3" ht="15.75" customHeight="1">
      <c r="A3" s="9" t="s">
        <v>28</v>
      </c>
      <c r="B3" s="11">
        <v>33861.0</v>
      </c>
      <c r="C3" s="11">
        <v>10844.0</v>
      </c>
      <c r="D3" s="11">
        <v>14355.0</v>
      </c>
      <c r="E3" s="11">
        <f t="shared" si="1"/>
        <v>8662</v>
      </c>
      <c r="F3" s="11">
        <v>525.0</v>
      </c>
      <c r="G3" s="11">
        <f t="shared" si="2"/>
        <v>8137</v>
      </c>
      <c r="H3" s="11">
        <v>33.8</v>
      </c>
      <c r="I3" s="11">
        <f t="shared" si="3"/>
        <v>33861</v>
      </c>
      <c r="J3" s="9" t="s">
        <v>20</v>
      </c>
      <c r="M3" s="18"/>
      <c r="N3" s="18" t="s">
        <v>30</v>
      </c>
      <c r="O3" s="18">
        <v>160.0</v>
      </c>
      <c r="Q3" s="18" t="s">
        <v>31</v>
      </c>
      <c r="R3" s="18" t="s">
        <v>22</v>
      </c>
      <c r="S3" s="18">
        <v>470.0</v>
      </c>
    </row>
    <row r="4" ht="15.75" customHeight="1">
      <c r="A4" s="9" t="s">
        <v>33</v>
      </c>
      <c r="B4" s="11">
        <v>44602.0</v>
      </c>
      <c r="C4" s="11">
        <v>10830.0</v>
      </c>
      <c r="D4" s="11">
        <v>23905.0</v>
      </c>
      <c r="E4" s="11">
        <f t="shared" si="1"/>
        <v>9867</v>
      </c>
      <c r="F4" s="11">
        <v>1089.0</v>
      </c>
      <c r="G4" s="11">
        <f t="shared" si="2"/>
        <v>8778</v>
      </c>
      <c r="H4" s="11">
        <v>73.81</v>
      </c>
      <c r="I4" s="11">
        <f t="shared" si="3"/>
        <v>44602</v>
      </c>
      <c r="J4" s="9" t="s">
        <v>20</v>
      </c>
      <c r="M4" s="18"/>
      <c r="N4" s="18" t="s">
        <v>37</v>
      </c>
      <c r="O4" s="18">
        <v>185.0</v>
      </c>
      <c r="Q4" s="18"/>
      <c r="R4" s="18" t="s">
        <v>38</v>
      </c>
      <c r="S4" s="18">
        <v>350.0</v>
      </c>
    </row>
    <row r="5" ht="15.75" customHeight="1">
      <c r="A5" s="9" t="s">
        <v>40</v>
      </c>
      <c r="B5" s="11">
        <v>57242.0</v>
      </c>
      <c r="C5" s="11">
        <v>10822.0</v>
      </c>
      <c r="D5" s="11">
        <v>33359.0</v>
      </c>
      <c r="E5" s="11">
        <f t="shared" si="1"/>
        <v>13061</v>
      </c>
      <c r="F5" s="11">
        <v>1236.0</v>
      </c>
      <c r="G5" s="11">
        <f t="shared" si="2"/>
        <v>11825</v>
      </c>
      <c r="H5" s="11">
        <v>78.6</v>
      </c>
      <c r="I5" s="11">
        <f t="shared" si="3"/>
        <v>57242</v>
      </c>
      <c r="J5" s="9" t="s">
        <v>44</v>
      </c>
      <c r="M5" s="18" t="s">
        <v>28</v>
      </c>
      <c r="N5" s="18" t="s">
        <v>22</v>
      </c>
      <c r="O5" s="18">
        <v>275.0</v>
      </c>
      <c r="Q5" s="18" t="s">
        <v>46</v>
      </c>
      <c r="R5" s="18" t="s">
        <v>22</v>
      </c>
      <c r="S5" s="18">
        <v>535.0</v>
      </c>
    </row>
    <row r="6" ht="15.75" customHeight="1">
      <c r="A6" s="9" t="s">
        <v>47</v>
      </c>
      <c r="B6" s="11">
        <v>25349.0</v>
      </c>
      <c r="C6" s="11">
        <v>7615.0</v>
      </c>
      <c r="D6" s="11">
        <v>13548.0</v>
      </c>
      <c r="E6" s="11">
        <f t="shared" si="1"/>
        <v>4186</v>
      </c>
      <c r="F6" s="11">
        <v>717.0</v>
      </c>
      <c r="G6" s="11">
        <f t="shared" si="2"/>
        <v>3469</v>
      </c>
      <c r="H6" s="11">
        <v>22.0</v>
      </c>
      <c r="I6" s="11">
        <f t="shared" si="3"/>
        <v>25349</v>
      </c>
      <c r="J6" s="9" t="s">
        <v>20</v>
      </c>
      <c r="M6" s="18"/>
      <c r="N6" s="18" t="s">
        <v>50</v>
      </c>
      <c r="O6" s="18">
        <v>250.0</v>
      </c>
      <c r="Q6" s="18" t="s">
        <v>51</v>
      </c>
      <c r="R6" s="18" t="s">
        <v>22</v>
      </c>
      <c r="S6" s="18">
        <v>766.0</v>
      </c>
    </row>
    <row r="7" ht="15.75" customHeight="1">
      <c r="A7" s="9" t="s">
        <v>52</v>
      </c>
      <c r="B7" s="11">
        <v>27536.0</v>
      </c>
      <c r="C7" s="11">
        <v>6435.0</v>
      </c>
      <c r="D7" s="11">
        <v>12844.0</v>
      </c>
      <c r="E7" s="11">
        <f t="shared" si="1"/>
        <v>8257</v>
      </c>
      <c r="F7" s="11">
        <v>972.0</v>
      </c>
      <c r="G7" s="11">
        <f t="shared" si="2"/>
        <v>7285</v>
      </c>
      <c r="H7" s="11">
        <v>51.1</v>
      </c>
      <c r="I7" s="11">
        <f t="shared" si="3"/>
        <v>27536</v>
      </c>
      <c r="J7" s="9" t="s">
        <v>20</v>
      </c>
      <c r="M7" s="18" t="s">
        <v>33</v>
      </c>
      <c r="N7" s="18" t="s">
        <v>22</v>
      </c>
      <c r="O7" s="18">
        <v>287.0</v>
      </c>
      <c r="Q7" s="18"/>
      <c r="R7" s="18" t="s">
        <v>54</v>
      </c>
      <c r="S7" s="18">
        <v>10.0</v>
      </c>
    </row>
    <row r="8" ht="15.75" customHeight="1">
      <c r="A8" s="9" t="s">
        <v>56</v>
      </c>
      <c r="B8" s="11">
        <v>28747.0</v>
      </c>
      <c r="C8" s="11">
        <v>3921.0</v>
      </c>
      <c r="D8" s="11">
        <v>18461.0</v>
      </c>
      <c r="E8" s="11">
        <f t="shared" si="1"/>
        <v>6365</v>
      </c>
      <c r="F8" s="11">
        <v>295.0</v>
      </c>
      <c r="G8" s="11">
        <f t="shared" si="2"/>
        <v>6070</v>
      </c>
      <c r="H8" s="11">
        <v>9.09</v>
      </c>
      <c r="I8" s="11">
        <f t="shared" si="3"/>
        <v>28747</v>
      </c>
      <c r="J8" s="9" t="s">
        <v>20</v>
      </c>
      <c r="M8" s="18"/>
      <c r="N8" s="18" t="s">
        <v>24</v>
      </c>
      <c r="O8" s="18">
        <v>282.0</v>
      </c>
      <c r="Q8" s="18" t="s">
        <v>57</v>
      </c>
      <c r="R8" s="18" t="s">
        <v>22</v>
      </c>
      <c r="S8" s="18">
        <v>619.0</v>
      </c>
    </row>
    <row r="9" ht="15.75" customHeight="1">
      <c r="A9" s="9" t="s">
        <v>60</v>
      </c>
      <c r="B9" s="11">
        <v>26471.0</v>
      </c>
      <c r="C9" s="11">
        <v>5305.0</v>
      </c>
      <c r="D9" s="11">
        <v>16190.0</v>
      </c>
      <c r="E9" s="11">
        <f t="shared" si="1"/>
        <v>4976</v>
      </c>
      <c r="F9" s="11">
        <v>272.0</v>
      </c>
      <c r="G9" s="11">
        <f t="shared" si="2"/>
        <v>4704</v>
      </c>
      <c r="H9" s="11">
        <v>10.29</v>
      </c>
      <c r="I9" s="11">
        <f t="shared" si="3"/>
        <v>26471</v>
      </c>
      <c r="J9" s="9" t="s">
        <v>20</v>
      </c>
      <c r="M9" s="18"/>
      <c r="N9" s="18" t="s">
        <v>61</v>
      </c>
      <c r="O9" s="18">
        <v>140.0</v>
      </c>
      <c r="Q9" s="18" t="s">
        <v>62</v>
      </c>
      <c r="R9" s="18" t="s">
        <v>22</v>
      </c>
      <c r="S9" s="18">
        <v>510.0</v>
      </c>
    </row>
    <row r="10" ht="15.75" customHeight="1">
      <c r="A10" s="9" t="s">
        <v>64</v>
      </c>
      <c r="B10" s="11">
        <v>39563.0</v>
      </c>
      <c r="C10" s="11">
        <v>9259.0</v>
      </c>
      <c r="D10" s="11">
        <v>20549.0</v>
      </c>
      <c r="E10" s="11">
        <f t="shared" si="1"/>
        <v>9755</v>
      </c>
      <c r="F10" s="11">
        <v>920.0</v>
      </c>
      <c r="G10" s="11">
        <f t="shared" si="2"/>
        <v>8835</v>
      </c>
      <c r="H10" s="11">
        <v>27.47</v>
      </c>
      <c r="I10" s="11">
        <f t="shared" si="3"/>
        <v>39563</v>
      </c>
      <c r="J10" s="9" t="s">
        <v>20</v>
      </c>
      <c r="M10" s="18"/>
      <c r="N10" s="18" t="s">
        <v>66</v>
      </c>
      <c r="O10" s="18">
        <v>30.0</v>
      </c>
      <c r="Q10" s="18" t="s">
        <v>67</v>
      </c>
      <c r="R10" s="18" t="s">
        <v>38</v>
      </c>
      <c r="S10" s="18">
        <v>350.0</v>
      </c>
    </row>
    <row r="11" ht="15.75" customHeight="1">
      <c r="A11" s="9" t="s">
        <v>68</v>
      </c>
      <c r="B11" s="11">
        <v>35940.0</v>
      </c>
      <c r="C11" s="11">
        <v>5819.0</v>
      </c>
      <c r="D11" s="11">
        <v>17974.0</v>
      </c>
      <c r="E11" s="11">
        <f t="shared" si="1"/>
        <v>12147</v>
      </c>
      <c r="F11" s="11">
        <v>4261.0</v>
      </c>
      <c r="G11" s="11">
        <f t="shared" si="2"/>
        <v>7886</v>
      </c>
      <c r="H11" s="11">
        <v>35.79</v>
      </c>
      <c r="I11" s="11">
        <f t="shared" si="3"/>
        <v>35940</v>
      </c>
      <c r="J11" s="9" t="s">
        <v>20</v>
      </c>
      <c r="M11" s="18"/>
      <c r="N11" s="18" t="s">
        <v>38</v>
      </c>
      <c r="O11" s="18">
        <v>350.0</v>
      </c>
      <c r="Q11" s="18"/>
      <c r="R11" s="18" t="s">
        <v>22</v>
      </c>
      <c r="S11" s="18">
        <v>260.0</v>
      </c>
    </row>
    <row r="12" ht="15.75" customHeight="1">
      <c r="A12" s="9" t="s">
        <v>23</v>
      </c>
      <c r="B12" s="11">
        <v>52537.0</v>
      </c>
      <c r="C12" s="11">
        <v>11239.0</v>
      </c>
      <c r="D12" s="11">
        <v>27944.0</v>
      </c>
      <c r="E12" s="11">
        <f t="shared" si="1"/>
        <v>13354</v>
      </c>
      <c r="F12" s="11">
        <v>1205.0</v>
      </c>
      <c r="G12" s="11">
        <f t="shared" si="2"/>
        <v>12149</v>
      </c>
      <c r="H12" s="11">
        <v>80.21</v>
      </c>
      <c r="I12" s="11">
        <f t="shared" si="3"/>
        <v>52537</v>
      </c>
      <c r="J12" s="9" t="s">
        <v>73</v>
      </c>
      <c r="M12" s="18" t="s">
        <v>40</v>
      </c>
      <c r="N12" s="18" t="s">
        <v>22</v>
      </c>
      <c r="O12" s="18">
        <v>576.0</v>
      </c>
      <c r="Q12" s="18" t="s">
        <v>74</v>
      </c>
      <c r="R12" s="18" t="s">
        <v>22</v>
      </c>
      <c r="S12" s="18">
        <v>198.0</v>
      </c>
    </row>
    <row r="13" ht="15.75" customHeight="1">
      <c r="A13" s="9" t="s">
        <v>59</v>
      </c>
      <c r="B13" s="11">
        <v>18372.0</v>
      </c>
      <c r="C13" s="11">
        <v>5504.0</v>
      </c>
      <c r="D13" s="11">
        <v>9675.0</v>
      </c>
      <c r="E13" s="11">
        <f t="shared" si="1"/>
        <v>3193</v>
      </c>
      <c r="F13" s="11">
        <v>1090.0</v>
      </c>
      <c r="G13" s="11">
        <f t="shared" si="2"/>
        <v>2103</v>
      </c>
      <c r="H13" s="11">
        <v>21.32</v>
      </c>
      <c r="I13" s="11">
        <f t="shared" si="3"/>
        <v>18372</v>
      </c>
      <c r="J13" s="9" t="s">
        <v>20</v>
      </c>
      <c r="M13" s="18"/>
      <c r="N13" s="18" t="s">
        <v>22</v>
      </c>
      <c r="O13" s="18">
        <v>410.0</v>
      </c>
      <c r="Q13" s="18" t="s">
        <v>77</v>
      </c>
      <c r="R13" s="18" t="s">
        <v>22</v>
      </c>
      <c r="S13" s="18">
        <v>279.0</v>
      </c>
    </row>
    <row r="14" ht="15.75" customHeight="1">
      <c r="A14" s="9" t="s">
        <v>70</v>
      </c>
      <c r="B14" s="11">
        <v>32401.0</v>
      </c>
      <c r="C14" s="11">
        <v>7939.0</v>
      </c>
      <c r="D14" s="11">
        <v>18420.0</v>
      </c>
      <c r="E14" s="11">
        <f t="shared" si="1"/>
        <v>6042</v>
      </c>
      <c r="F14" s="11">
        <v>1192.0</v>
      </c>
      <c r="G14" s="11">
        <f t="shared" si="2"/>
        <v>4850</v>
      </c>
      <c r="H14" s="11">
        <v>13.93</v>
      </c>
      <c r="I14" s="11">
        <f t="shared" si="3"/>
        <v>32401</v>
      </c>
      <c r="J14" s="9" t="s">
        <v>20</v>
      </c>
      <c r="M14" s="18"/>
      <c r="N14" s="18" t="s">
        <v>80</v>
      </c>
      <c r="O14" s="18">
        <v>350.0</v>
      </c>
      <c r="Q14" s="18"/>
      <c r="R14" s="18" t="s">
        <v>24</v>
      </c>
      <c r="S14" s="18">
        <v>138.0</v>
      </c>
    </row>
    <row r="15" ht="15.75" customHeight="1">
      <c r="A15" s="9" t="s">
        <v>75</v>
      </c>
      <c r="B15" s="11">
        <v>29700.0</v>
      </c>
      <c r="C15" s="11">
        <v>6927.0</v>
      </c>
      <c r="D15" s="11">
        <v>16796.0</v>
      </c>
      <c r="E15" s="11">
        <f t="shared" si="1"/>
        <v>5977</v>
      </c>
      <c r="F15" s="11">
        <v>329.0</v>
      </c>
      <c r="G15" s="11">
        <f t="shared" si="2"/>
        <v>5648</v>
      </c>
      <c r="H15" s="11">
        <v>11.49</v>
      </c>
      <c r="I15" s="11">
        <f t="shared" si="3"/>
        <v>29700</v>
      </c>
      <c r="J15" s="9" t="s">
        <v>20</v>
      </c>
      <c r="M15" s="18" t="s">
        <v>47</v>
      </c>
      <c r="N15" s="18" t="s">
        <v>22</v>
      </c>
      <c r="O15" s="18">
        <v>717.0</v>
      </c>
      <c r="Q15" s="18"/>
      <c r="R15" s="18" t="s">
        <v>35</v>
      </c>
      <c r="S15" s="18">
        <v>20.0</v>
      </c>
    </row>
    <row r="16" ht="15.75" customHeight="1">
      <c r="A16" s="9" t="s">
        <v>27</v>
      </c>
      <c r="B16" s="11">
        <v>52708.0</v>
      </c>
      <c r="C16" s="11">
        <v>8026.0</v>
      </c>
      <c r="D16" s="11">
        <v>32216.0</v>
      </c>
      <c r="E16" s="11">
        <f t="shared" si="1"/>
        <v>12466</v>
      </c>
      <c r="F16" s="11">
        <v>675.0</v>
      </c>
      <c r="G16" s="11">
        <f t="shared" si="2"/>
        <v>11791</v>
      </c>
      <c r="H16" s="11">
        <v>94.44</v>
      </c>
      <c r="I16" s="11">
        <f t="shared" si="3"/>
        <v>52708</v>
      </c>
      <c r="J16" s="9" t="s">
        <v>20</v>
      </c>
      <c r="M16" s="18" t="s">
        <v>52</v>
      </c>
      <c r="N16" s="18" t="s">
        <v>50</v>
      </c>
      <c r="O16" s="18">
        <v>220.0</v>
      </c>
      <c r="Q16" s="18"/>
      <c r="R16" s="18" t="s">
        <v>83</v>
      </c>
      <c r="S16" s="18">
        <v>192.0</v>
      </c>
    </row>
    <row r="17" ht="15.75" customHeight="1">
      <c r="A17" s="9" t="s">
        <v>31</v>
      </c>
      <c r="B17" s="11">
        <v>39557.0</v>
      </c>
      <c r="C17" s="11">
        <v>4891.0</v>
      </c>
      <c r="D17" s="11">
        <v>27187.0</v>
      </c>
      <c r="E17" s="11">
        <f t="shared" si="1"/>
        <v>7479</v>
      </c>
      <c r="F17" s="11">
        <v>820.0</v>
      </c>
      <c r="G17" s="11">
        <f t="shared" si="2"/>
        <v>6659</v>
      </c>
      <c r="H17" s="11">
        <v>69.87</v>
      </c>
      <c r="I17" s="11">
        <f t="shared" si="3"/>
        <v>39557</v>
      </c>
      <c r="J17" s="9" t="s">
        <v>20</v>
      </c>
      <c r="M17" s="18"/>
      <c r="N17" s="18" t="s">
        <v>22</v>
      </c>
      <c r="O17" s="18">
        <v>175.0</v>
      </c>
      <c r="Q17" s="18"/>
      <c r="R17" s="18" t="s">
        <v>24</v>
      </c>
      <c r="S17" s="18">
        <v>255.0</v>
      </c>
    </row>
    <row r="18" ht="15.75" customHeight="1">
      <c r="A18" s="9" t="s">
        <v>46</v>
      </c>
      <c r="B18" s="11">
        <v>53193.0</v>
      </c>
      <c r="C18" s="11">
        <v>12347.0</v>
      </c>
      <c r="D18" s="11">
        <v>28465.0</v>
      </c>
      <c r="E18" s="11">
        <f t="shared" si="1"/>
        <v>12381</v>
      </c>
      <c r="F18" s="11">
        <v>535.0</v>
      </c>
      <c r="G18" s="11">
        <f t="shared" si="2"/>
        <v>11846</v>
      </c>
      <c r="H18" s="11">
        <v>60.81</v>
      </c>
      <c r="I18" s="11">
        <f t="shared" si="3"/>
        <v>53193</v>
      </c>
      <c r="J18" s="9" t="s">
        <v>20</v>
      </c>
      <c r="M18" s="18"/>
      <c r="N18" s="18" t="s">
        <v>22</v>
      </c>
      <c r="O18" s="18">
        <v>577.0</v>
      </c>
      <c r="Q18" s="18" t="s">
        <v>88</v>
      </c>
      <c r="R18" s="18" t="s">
        <v>22</v>
      </c>
      <c r="S18" s="18">
        <v>641.0</v>
      </c>
    </row>
    <row r="19" ht="15.75" customHeight="1">
      <c r="A19" s="9" t="s">
        <v>51</v>
      </c>
      <c r="B19" s="11">
        <v>57147.0</v>
      </c>
      <c r="C19" s="11">
        <v>16018.0</v>
      </c>
      <c r="D19" s="11">
        <v>26947.0</v>
      </c>
      <c r="E19" s="11">
        <f t="shared" si="1"/>
        <v>14182</v>
      </c>
      <c r="F19" s="11">
        <v>776.0</v>
      </c>
      <c r="G19" s="11">
        <f t="shared" si="2"/>
        <v>13406</v>
      </c>
      <c r="H19" s="11">
        <v>108.62</v>
      </c>
      <c r="I19" s="11">
        <f t="shared" si="3"/>
        <v>57147</v>
      </c>
      <c r="J19" s="9" t="s">
        <v>92</v>
      </c>
      <c r="M19" s="18" t="s">
        <v>56</v>
      </c>
      <c r="N19" s="18" t="s">
        <v>24</v>
      </c>
      <c r="O19" s="18">
        <v>295.0</v>
      </c>
      <c r="Q19" s="18"/>
      <c r="R19" s="18" t="s">
        <v>93</v>
      </c>
      <c r="S19" s="18">
        <v>50.0</v>
      </c>
    </row>
    <row r="20" ht="15.75" customHeight="1">
      <c r="A20" s="9" t="s">
        <v>57</v>
      </c>
      <c r="B20" s="11">
        <v>23719.0</v>
      </c>
      <c r="C20" s="11">
        <v>7417.0</v>
      </c>
      <c r="D20" s="11">
        <v>11653.0</v>
      </c>
      <c r="E20" s="11">
        <f t="shared" si="1"/>
        <v>4649</v>
      </c>
      <c r="F20" s="11">
        <v>619.0</v>
      </c>
      <c r="G20" s="11">
        <f t="shared" si="2"/>
        <v>4030</v>
      </c>
      <c r="H20" s="11">
        <v>12.89</v>
      </c>
      <c r="I20" s="11">
        <f t="shared" si="3"/>
        <v>23719</v>
      </c>
      <c r="J20" s="9" t="s">
        <v>20</v>
      </c>
      <c r="M20" s="18" t="s">
        <v>60</v>
      </c>
      <c r="N20" s="18" t="s">
        <v>22</v>
      </c>
      <c r="O20" s="18">
        <v>272.0</v>
      </c>
      <c r="Q20" s="18"/>
      <c r="R20" s="18" t="s">
        <v>95</v>
      </c>
      <c r="S20" s="18">
        <v>73.0</v>
      </c>
    </row>
    <row r="21" ht="15.75" customHeight="1">
      <c r="A21" s="9" t="s">
        <v>62</v>
      </c>
      <c r="B21" s="11">
        <v>20096.0</v>
      </c>
      <c r="C21" s="11">
        <v>5032.0</v>
      </c>
      <c r="D21" s="11">
        <v>7526.0</v>
      </c>
      <c r="E21" s="11">
        <f t="shared" si="1"/>
        <v>7538</v>
      </c>
      <c r="F21" s="11">
        <v>510.0</v>
      </c>
      <c r="G21" s="11">
        <f t="shared" si="2"/>
        <v>7028</v>
      </c>
      <c r="H21" s="11">
        <v>0.0</v>
      </c>
      <c r="I21" s="11">
        <f t="shared" si="3"/>
        <v>20096</v>
      </c>
      <c r="J21" s="9" t="s">
        <v>20</v>
      </c>
      <c r="M21" s="18" t="s">
        <v>64</v>
      </c>
      <c r="N21" s="18" t="s">
        <v>22</v>
      </c>
      <c r="O21" s="18">
        <v>690.0</v>
      </c>
      <c r="Q21" s="18" t="s">
        <v>98</v>
      </c>
      <c r="R21" s="18" t="s">
        <v>22</v>
      </c>
      <c r="S21" s="18">
        <v>814.0</v>
      </c>
    </row>
    <row r="22" ht="15.75" customHeight="1">
      <c r="A22" s="9" t="s">
        <v>67</v>
      </c>
      <c r="B22" s="11">
        <v>28154.0</v>
      </c>
      <c r="C22" s="11">
        <v>8639.0</v>
      </c>
      <c r="D22" s="11">
        <v>13962.0</v>
      </c>
      <c r="E22" s="11">
        <f t="shared" si="1"/>
        <v>5553</v>
      </c>
      <c r="F22" s="11">
        <v>610.0</v>
      </c>
      <c r="G22" s="11">
        <f t="shared" si="2"/>
        <v>4943</v>
      </c>
      <c r="H22" s="11">
        <v>14.14</v>
      </c>
      <c r="I22" s="11">
        <f t="shared" si="3"/>
        <v>28154</v>
      </c>
      <c r="J22" s="9" t="s">
        <v>20</v>
      </c>
      <c r="M22" s="18"/>
      <c r="N22" s="18" t="s">
        <v>50</v>
      </c>
      <c r="O22" s="18">
        <v>220.0</v>
      </c>
      <c r="Q22" s="18"/>
      <c r="R22" s="18" t="s">
        <v>97</v>
      </c>
      <c r="S22" s="18">
        <v>1800.0</v>
      </c>
    </row>
    <row r="23" ht="15.75" customHeight="1">
      <c r="A23" s="9" t="s">
        <v>74</v>
      </c>
      <c r="B23" s="11">
        <v>28225.0</v>
      </c>
      <c r="C23" s="11">
        <v>7464.0</v>
      </c>
      <c r="D23" s="11">
        <v>12645.0</v>
      </c>
      <c r="E23" s="11">
        <f t="shared" si="1"/>
        <v>8116</v>
      </c>
      <c r="F23" s="11">
        <v>198.0</v>
      </c>
      <c r="G23" s="11">
        <f t="shared" si="2"/>
        <v>7918</v>
      </c>
      <c r="H23" s="11">
        <v>0.0</v>
      </c>
      <c r="I23" s="11">
        <f t="shared" si="3"/>
        <v>28225</v>
      </c>
      <c r="J23" s="9" t="s">
        <v>20</v>
      </c>
      <c r="M23" s="18"/>
      <c r="N23" s="18" t="s">
        <v>39</v>
      </c>
      <c r="O23" s="18">
        <v>10.0</v>
      </c>
      <c r="Q23" s="18" t="s">
        <v>25</v>
      </c>
      <c r="R23" s="18" t="s">
        <v>102</v>
      </c>
      <c r="S23" s="18">
        <v>90.0</v>
      </c>
    </row>
    <row r="24" ht="15.75" customHeight="1">
      <c r="A24" s="9" t="s">
        <v>77</v>
      </c>
      <c r="B24" s="11">
        <v>42353.0</v>
      </c>
      <c r="C24" s="11">
        <v>13311.0</v>
      </c>
      <c r="D24" s="11">
        <v>22625.0</v>
      </c>
      <c r="E24" s="11">
        <f t="shared" si="1"/>
        <v>6417</v>
      </c>
      <c r="F24" s="11">
        <v>884.0</v>
      </c>
      <c r="G24" s="11">
        <f t="shared" si="2"/>
        <v>5533</v>
      </c>
      <c r="H24" s="11">
        <v>57.14</v>
      </c>
      <c r="I24" s="11">
        <f t="shared" si="3"/>
        <v>42353</v>
      </c>
      <c r="J24" s="9" t="s">
        <v>20</v>
      </c>
      <c r="M24" s="18" t="s">
        <v>68</v>
      </c>
      <c r="N24" s="18" t="s">
        <v>105</v>
      </c>
      <c r="O24" s="18">
        <v>3000.0</v>
      </c>
      <c r="Q24" s="18"/>
      <c r="R24" s="18" t="s">
        <v>97</v>
      </c>
      <c r="S24" s="18">
        <v>1880.0</v>
      </c>
    </row>
    <row r="25" ht="15.75" customHeight="1">
      <c r="A25" s="9" t="s">
        <v>88</v>
      </c>
      <c r="B25" s="11">
        <v>40977.0</v>
      </c>
      <c r="C25" s="11">
        <v>6775.0</v>
      </c>
      <c r="D25" s="11">
        <v>23558.0</v>
      </c>
      <c r="E25" s="11">
        <f t="shared" si="1"/>
        <v>10644</v>
      </c>
      <c r="F25" s="11">
        <v>764.0</v>
      </c>
      <c r="G25" s="11">
        <f t="shared" si="2"/>
        <v>9880</v>
      </c>
      <c r="H25" s="11">
        <v>38.38</v>
      </c>
      <c r="I25" s="11">
        <f t="shared" si="3"/>
        <v>40977</v>
      </c>
      <c r="J25" s="9" t="s">
        <v>20</v>
      </c>
      <c r="M25" s="18"/>
      <c r="N25" s="18" t="s">
        <v>22</v>
      </c>
      <c r="O25" s="18">
        <v>560.0</v>
      </c>
      <c r="Q25" s="18"/>
      <c r="R25" s="18" t="s">
        <v>22</v>
      </c>
      <c r="S25" s="18">
        <v>420.0</v>
      </c>
    </row>
    <row r="26" ht="15.75" customHeight="1">
      <c r="A26" s="9" t="s">
        <v>98</v>
      </c>
      <c r="B26" s="11">
        <v>59472.0</v>
      </c>
      <c r="C26" s="11">
        <v>13191.0</v>
      </c>
      <c r="D26" s="11">
        <v>30780.0</v>
      </c>
      <c r="E26" s="11">
        <f t="shared" si="1"/>
        <v>15501</v>
      </c>
      <c r="F26" s="11">
        <v>2614.0</v>
      </c>
      <c r="G26" s="11">
        <f t="shared" si="2"/>
        <v>12887</v>
      </c>
      <c r="H26" s="11">
        <v>57.45</v>
      </c>
      <c r="I26" s="11">
        <f t="shared" si="3"/>
        <v>59472</v>
      </c>
      <c r="J26" s="9" t="s">
        <v>20</v>
      </c>
      <c r="M26" s="18"/>
      <c r="N26" s="18" t="s">
        <v>22</v>
      </c>
      <c r="O26" s="18">
        <v>701.0</v>
      </c>
      <c r="Q26" s="18"/>
      <c r="R26" s="18" t="s">
        <v>78</v>
      </c>
      <c r="S26" s="18">
        <v>400.0</v>
      </c>
    </row>
    <row r="27" ht="15.75" customHeight="1">
      <c r="A27" s="9" t="s">
        <v>25</v>
      </c>
      <c r="B27" s="11">
        <v>35788.0</v>
      </c>
      <c r="C27" s="11">
        <v>8459.0</v>
      </c>
      <c r="D27" s="11">
        <v>16794.0</v>
      </c>
      <c r="E27" s="11">
        <f t="shared" si="1"/>
        <v>10535</v>
      </c>
      <c r="F27" s="11">
        <v>3020.0</v>
      </c>
      <c r="G27" s="11">
        <f t="shared" si="2"/>
        <v>7515</v>
      </c>
      <c r="H27" s="11">
        <v>62.29</v>
      </c>
      <c r="I27" s="11">
        <f t="shared" si="3"/>
        <v>35788</v>
      </c>
      <c r="J27" s="9" t="s">
        <v>20</v>
      </c>
      <c r="K27" s="25" t="s">
        <v>111</v>
      </c>
      <c r="M27" s="18" t="s">
        <v>23</v>
      </c>
      <c r="N27" s="18" t="s">
        <v>112</v>
      </c>
      <c r="O27" s="18">
        <v>900.0</v>
      </c>
      <c r="Q27" s="18"/>
      <c r="R27" s="18" t="s">
        <v>113</v>
      </c>
      <c r="S27" s="18">
        <v>100.0</v>
      </c>
    </row>
    <row r="28" ht="15.75" customHeight="1">
      <c r="A28" s="9" t="s">
        <v>49</v>
      </c>
      <c r="B28" s="11">
        <v>31649.0</v>
      </c>
      <c r="C28" s="11">
        <v>8937.0</v>
      </c>
      <c r="D28" s="11">
        <v>14203.0</v>
      </c>
      <c r="E28" s="11">
        <f t="shared" si="1"/>
        <v>8509</v>
      </c>
      <c r="F28" s="11">
        <v>364.0</v>
      </c>
      <c r="G28" s="11">
        <f t="shared" si="2"/>
        <v>8145</v>
      </c>
      <c r="H28" s="11">
        <v>27.29</v>
      </c>
      <c r="I28" s="11">
        <f t="shared" si="3"/>
        <v>31649</v>
      </c>
      <c r="J28" s="9" t="s">
        <v>20</v>
      </c>
      <c r="M28" s="18"/>
      <c r="N28" s="18" t="s">
        <v>22</v>
      </c>
      <c r="O28" s="18">
        <v>305.0</v>
      </c>
      <c r="Q28" s="18"/>
      <c r="R28" s="18" t="s">
        <v>96</v>
      </c>
      <c r="S28" s="18">
        <v>60.0</v>
      </c>
    </row>
    <row r="29" ht="15.75" customHeight="1">
      <c r="A29" s="9" t="s">
        <v>65</v>
      </c>
      <c r="B29" s="11">
        <v>24930.0</v>
      </c>
      <c r="C29" s="11">
        <v>9318.0</v>
      </c>
      <c r="D29" s="11">
        <v>10924.0</v>
      </c>
      <c r="E29" s="11">
        <f t="shared" si="1"/>
        <v>4688</v>
      </c>
      <c r="F29" s="11">
        <v>564.0</v>
      </c>
      <c r="G29" s="11">
        <f t="shared" si="2"/>
        <v>4124</v>
      </c>
      <c r="H29" s="11">
        <v>18.27</v>
      </c>
      <c r="I29" s="11">
        <f t="shared" si="3"/>
        <v>24930</v>
      </c>
      <c r="J29" s="9" t="s">
        <v>73</v>
      </c>
      <c r="M29" s="18" t="s">
        <v>59</v>
      </c>
      <c r="N29" s="18" t="s">
        <v>38</v>
      </c>
      <c r="O29" s="18">
        <v>350.0</v>
      </c>
      <c r="Q29" s="18"/>
      <c r="R29" s="18" t="s">
        <v>116</v>
      </c>
      <c r="S29" s="18">
        <v>70.0</v>
      </c>
    </row>
    <row r="30" ht="15.75" customHeight="1">
      <c r="A30" s="9" t="s">
        <v>101</v>
      </c>
      <c r="B30" s="11">
        <v>31664.0</v>
      </c>
      <c r="C30" s="11">
        <v>7035.0</v>
      </c>
      <c r="D30" s="11">
        <v>14530.0</v>
      </c>
      <c r="E30" s="11">
        <f t="shared" si="1"/>
        <v>10099</v>
      </c>
      <c r="F30" s="11">
        <v>759.0</v>
      </c>
      <c r="G30" s="11">
        <f t="shared" si="2"/>
        <v>9340</v>
      </c>
      <c r="H30" s="11">
        <v>37.88</v>
      </c>
      <c r="I30" s="11">
        <f t="shared" si="3"/>
        <v>31664</v>
      </c>
      <c r="J30" s="9" t="s">
        <v>20</v>
      </c>
      <c r="M30" s="18"/>
      <c r="N30" s="18" t="s">
        <v>22</v>
      </c>
      <c r="O30" s="18">
        <v>704.0</v>
      </c>
      <c r="Q30" s="18" t="s">
        <v>49</v>
      </c>
      <c r="R30" s="18" t="s">
        <v>22</v>
      </c>
      <c r="S30" s="18">
        <v>364.0</v>
      </c>
    </row>
    <row r="31" ht="15.75" customHeight="1">
      <c r="A31" s="9" t="s">
        <v>110</v>
      </c>
      <c r="B31" s="11">
        <v>33781.0</v>
      </c>
      <c r="C31" s="11">
        <v>5118.0</v>
      </c>
      <c r="D31" s="11">
        <v>16874.0</v>
      </c>
      <c r="E31" s="11">
        <f t="shared" si="1"/>
        <v>11789</v>
      </c>
      <c r="F31" s="11">
        <v>915.0</v>
      </c>
      <c r="G31" s="11">
        <f t="shared" si="2"/>
        <v>10874</v>
      </c>
      <c r="H31" s="11">
        <v>48.73</v>
      </c>
      <c r="I31" s="11">
        <f t="shared" si="3"/>
        <v>33781</v>
      </c>
      <c r="J31" s="9" t="s">
        <v>20</v>
      </c>
      <c r="M31" s="18" t="s">
        <v>70</v>
      </c>
      <c r="N31" s="18" t="s">
        <v>22</v>
      </c>
      <c r="O31" s="18">
        <v>406.0</v>
      </c>
      <c r="Q31" s="18" t="s">
        <v>65</v>
      </c>
      <c r="R31" s="18" t="s">
        <v>22</v>
      </c>
      <c r="S31" s="18">
        <v>564.0</v>
      </c>
    </row>
    <row r="32" ht="15.75" customHeight="1">
      <c r="A32" s="9" t="s">
        <v>121</v>
      </c>
      <c r="B32" s="11">
        <v>49359.0</v>
      </c>
      <c r="C32" s="11">
        <v>11932.0</v>
      </c>
      <c r="D32" s="11">
        <v>23128.0</v>
      </c>
      <c r="E32" s="11">
        <f t="shared" si="1"/>
        <v>14299</v>
      </c>
      <c r="F32" s="11">
        <v>304.0</v>
      </c>
      <c r="G32" s="11">
        <f t="shared" si="2"/>
        <v>13995</v>
      </c>
      <c r="H32" s="9">
        <v>51.85</v>
      </c>
      <c r="I32" s="11">
        <f t="shared" si="3"/>
        <v>49359</v>
      </c>
      <c r="J32" s="9" t="s">
        <v>20</v>
      </c>
      <c r="M32" s="18"/>
      <c r="N32" s="18" t="s">
        <v>22</v>
      </c>
      <c r="O32" s="18">
        <v>736.0</v>
      </c>
      <c r="Q32" s="18" t="s">
        <v>101</v>
      </c>
      <c r="R32" s="18" t="s">
        <v>38</v>
      </c>
      <c r="S32" s="18">
        <v>350.0</v>
      </c>
    </row>
    <row r="33" ht="15.75" customHeight="1">
      <c r="A33" s="28"/>
      <c r="B33" s="29">
        <f t="shared" ref="B33:H33" si="4">SUM(B2:B32)</f>
        <v>1170749</v>
      </c>
      <c r="C33" s="29">
        <f t="shared" si="4"/>
        <v>270148</v>
      </c>
      <c r="D33" s="29">
        <f t="shared" si="4"/>
        <v>607034</v>
      </c>
      <c r="E33" s="29">
        <f t="shared" si="4"/>
        <v>293567</v>
      </c>
      <c r="F33" s="29">
        <f t="shared" si="4"/>
        <v>30040</v>
      </c>
      <c r="G33" s="29">
        <f t="shared" si="4"/>
        <v>263527</v>
      </c>
      <c r="H33" s="29">
        <f t="shared" si="4"/>
        <v>1308.4</v>
      </c>
      <c r="I33" s="29">
        <f>SUM(I2:I31)</f>
        <v>1121390</v>
      </c>
      <c r="J33" s="29">
        <f>SUM(J2:J32)</f>
        <v>0</v>
      </c>
      <c r="M33" s="18"/>
      <c r="N33" s="18" t="s">
        <v>82</v>
      </c>
      <c r="O33" s="18">
        <v>50.0</v>
      </c>
      <c r="Q33" s="18"/>
      <c r="R33" s="18" t="s">
        <v>22</v>
      </c>
      <c r="S33" s="18">
        <v>409.0</v>
      </c>
    </row>
    <row r="34" ht="15.75" customHeight="1">
      <c r="M34" s="18" t="s">
        <v>75</v>
      </c>
      <c r="N34" s="18" t="s">
        <v>109</v>
      </c>
      <c r="O34" s="18">
        <v>50.0</v>
      </c>
      <c r="Q34" s="18" t="s">
        <v>110</v>
      </c>
      <c r="R34" s="18" t="s">
        <v>22</v>
      </c>
      <c r="S34" s="18">
        <v>915.0</v>
      </c>
    </row>
    <row r="35" ht="15.75" customHeight="1">
      <c r="M35" s="18"/>
      <c r="N35" s="18" t="s">
        <v>125</v>
      </c>
      <c r="O35" s="18">
        <v>249.0</v>
      </c>
      <c r="Q35" s="18" t="s">
        <v>121</v>
      </c>
      <c r="R35" s="18" t="s">
        <v>22</v>
      </c>
      <c r="S35" s="18">
        <v>304.0</v>
      </c>
    </row>
    <row r="36" ht="15.75" customHeight="1">
      <c r="E36" s="2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I73" s="3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14.75"/>
    <col customWidth="1" min="4" max="5" width="7.63"/>
    <col customWidth="1" min="6" max="6" width="9.75"/>
    <col customWidth="1" min="7" max="7" width="14.5"/>
    <col customWidth="1" min="8" max="8" width="8.5"/>
    <col customWidth="1" min="9" max="9" width="8.63"/>
    <col customWidth="1" min="10" max="10" width="25.13"/>
    <col customWidth="1" min="11" max="11" width="10.63"/>
    <col customWidth="1" min="12" max="12" width="5.25"/>
    <col customWidth="1" min="13" max="13" width="17.38"/>
    <col customWidth="1" min="14" max="14" width="7.88"/>
    <col customWidth="1" min="15" max="15" width="3.75"/>
    <col customWidth="1" min="16" max="16" width="5.25"/>
    <col customWidth="1" min="17" max="17" width="16.13"/>
    <col customWidth="1" min="18" max="18" width="7.88"/>
    <col customWidth="1" min="19" max="19" width="10.63"/>
    <col customWidth="1" min="20" max="20" width="5.25"/>
    <col customWidth="1" min="21" max="21" width="10.63"/>
    <col customWidth="1" min="22" max="22" width="7.88"/>
    <col customWidth="1" min="23" max="24" width="2.88"/>
    <col customWidth="1" min="25" max="26" width="10.63"/>
  </cols>
  <sheetData>
    <row r="1" ht="15.75" customHeight="1">
      <c r="A1" s="3" t="s">
        <v>1</v>
      </c>
      <c r="B1" s="3" t="s">
        <v>5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6"/>
      <c r="L1" s="8" t="s">
        <v>1</v>
      </c>
      <c r="M1" s="8" t="s">
        <v>14</v>
      </c>
      <c r="N1" s="8" t="s">
        <v>15</v>
      </c>
      <c r="O1" s="6"/>
      <c r="P1" s="8" t="s">
        <v>1</v>
      </c>
      <c r="Q1" s="8" t="s">
        <v>14</v>
      </c>
      <c r="R1" s="8" t="s">
        <v>15</v>
      </c>
      <c r="S1" s="6"/>
      <c r="T1" s="8" t="s">
        <v>1</v>
      </c>
      <c r="U1" s="8" t="s">
        <v>14</v>
      </c>
      <c r="V1" s="8" t="s">
        <v>15</v>
      </c>
      <c r="W1" s="6"/>
      <c r="X1" s="6"/>
      <c r="Y1" s="6"/>
      <c r="Z1" s="6"/>
    </row>
    <row r="2" ht="15.75" customHeight="1">
      <c r="A2" s="12" t="s">
        <v>16</v>
      </c>
      <c r="B2" s="13">
        <v>72466.0</v>
      </c>
      <c r="C2" s="13">
        <v>12370.0</v>
      </c>
      <c r="D2" s="13">
        <v>48582.0</v>
      </c>
      <c r="E2" s="13">
        <f t="shared" ref="E2:E19" si="1">(B2-C2-D2)</f>
        <v>11514</v>
      </c>
      <c r="F2" s="13">
        <v>1327.0</v>
      </c>
      <c r="G2" s="13">
        <f t="shared" ref="G2:G29" si="2">(E2-F2)</f>
        <v>10187</v>
      </c>
      <c r="H2" s="13">
        <v>76.32</v>
      </c>
      <c r="I2" s="13">
        <f t="shared" ref="I2:I19" si="3">sum(C2+D2+F2+G2)</f>
        <v>72466</v>
      </c>
      <c r="J2" s="12" t="s">
        <v>20</v>
      </c>
      <c r="K2" s="6"/>
      <c r="L2" s="16" t="s">
        <v>16</v>
      </c>
      <c r="M2" s="16" t="s">
        <v>22</v>
      </c>
      <c r="N2" s="17">
        <v>1327.0</v>
      </c>
      <c r="O2" s="6"/>
      <c r="P2" s="16" t="s">
        <v>23</v>
      </c>
      <c r="Q2" s="16" t="s">
        <v>24</v>
      </c>
      <c r="R2" s="17">
        <v>240.0</v>
      </c>
      <c r="S2" s="6"/>
      <c r="T2" s="16" t="s">
        <v>25</v>
      </c>
      <c r="U2" s="16" t="s">
        <v>22</v>
      </c>
      <c r="V2" s="17">
        <v>721.0</v>
      </c>
      <c r="W2" s="6"/>
      <c r="X2" s="6"/>
      <c r="Y2" s="6"/>
      <c r="Z2" s="6"/>
    </row>
    <row r="3" ht="15.75" customHeight="1">
      <c r="A3" s="12" t="s">
        <v>28</v>
      </c>
      <c r="B3" s="13">
        <v>30693.0</v>
      </c>
      <c r="C3" s="13">
        <v>7449.0</v>
      </c>
      <c r="D3" s="13">
        <v>14113.0</v>
      </c>
      <c r="E3" s="13">
        <f t="shared" si="1"/>
        <v>9131</v>
      </c>
      <c r="F3" s="13">
        <v>564.0</v>
      </c>
      <c r="G3" s="13">
        <f t="shared" si="2"/>
        <v>8567</v>
      </c>
      <c r="H3" s="13">
        <v>9.18</v>
      </c>
      <c r="I3" s="13">
        <f t="shared" si="3"/>
        <v>30693</v>
      </c>
      <c r="J3" s="12" t="s">
        <v>20</v>
      </c>
      <c r="K3" s="6"/>
      <c r="L3" s="16" t="s">
        <v>28</v>
      </c>
      <c r="M3" s="16" t="s">
        <v>22</v>
      </c>
      <c r="N3" s="16">
        <v>544.0</v>
      </c>
      <c r="O3" s="6"/>
      <c r="P3" s="16"/>
      <c r="Q3" s="16" t="s">
        <v>34</v>
      </c>
      <c r="R3" s="16">
        <v>1000.0</v>
      </c>
      <c r="S3" s="6"/>
      <c r="T3" s="16"/>
      <c r="U3" s="16" t="s">
        <v>35</v>
      </c>
      <c r="V3" s="16">
        <v>10.0</v>
      </c>
      <c r="W3" s="6"/>
      <c r="X3" s="6"/>
      <c r="Y3" s="6"/>
      <c r="Z3" s="6"/>
    </row>
    <row r="4" ht="15.75" customHeight="1">
      <c r="A4" s="12" t="s">
        <v>33</v>
      </c>
      <c r="B4" s="13">
        <v>19891.0</v>
      </c>
      <c r="C4" s="13">
        <v>6936.0</v>
      </c>
      <c r="D4" s="13">
        <v>9320.0</v>
      </c>
      <c r="E4" s="13">
        <f t="shared" si="1"/>
        <v>3635</v>
      </c>
      <c r="F4" s="13">
        <v>1763.0</v>
      </c>
      <c r="G4" s="13">
        <f t="shared" si="2"/>
        <v>1872</v>
      </c>
      <c r="H4" s="13">
        <v>13.61</v>
      </c>
      <c r="I4" s="13">
        <f t="shared" si="3"/>
        <v>19891</v>
      </c>
      <c r="J4" s="12" t="s">
        <v>20</v>
      </c>
      <c r="K4" s="6"/>
      <c r="L4" s="16"/>
      <c r="M4" s="16" t="s">
        <v>39</v>
      </c>
      <c r="N4" s="16">
        <v>20.0</v>
      </c>
      <c r="O4" s="6"/>
      <c r="P4" s="16"/>
      <c r="Q4" s="16" t="s">
        <v>22</v>
      </c>
      <c r="R4" s="16">
        <v>1173.0</v>
      </c>
      <c r="S4" s="6"/>
      <c r="T4" s="16"/>
      <c r="U4" s="16" t="s">
        <v>42</v>
      </c>
      <c r="V4" s="16">
        <v>60.0</v>
      </c>
      <c r="W4" s="6"/>
      <c r="X4" s="6"/>
      <c r="Y4" s="6"/>
      <c r="Z4" s="6"/>
    </row>
    <row r="5" ht="15.75" customHeight="1">
      <c r="A5" s="12" t="s">
        <v>40</v>
      </c>
      <c r="B5" s="13">
        <v>26345.0</v>
      </c>
      <c r="C5" s="13">
        <v>5186.0</v>
      </c>
      <c r="D5" s="13">
        <v>14978.0</v>
      </c>
      <c r="E5" s="13">
        <f t="shared" si="1"/>
        <v>6181</v>
      </c>
      <c r="F5" s="13">
        <v>700.0</v>
      </c>
      <c r="G5" s="13">
        <f t="shared" si="2"/>
        <v>5481</v>
      </c>
      <c r="H5" s="13">
        <v>30.22</v>
      </c>
      <c r="I5" s="13">
        <f t="shared" si="3"/>
        <v>26345</v>
      </c>
      <c r="J5" s="12" t="s">
        <v>20</v>
      </c>
      <c r="K5" s="6"/>
      <c r="L5" s="16" t="s">
        <v>33</v>
      </c>
      <c r="M5" s="16" t="s">
        <v>22</v>
      </c>
      <c r="N5" s="16">
        <v>375.0</v>
      </c>
      <c r="O5" s="6"/>
      <c r="P5" s="16"/>
      <c r="Q5" s="16" t="s">
        <v>48</v>
      </c>
      <c r="R5" s="16">
        <v>1500.0</v>
      </c>
      <c r="S5" s="6"/>
      <c r="T5" s="6" t="s">
        <v>49</v>
      </c>
      <c r="U5" s="6" t="s">
        <v>22</v>
      </c>
      <c r="V5" s="6">
        <v>263.0</v>
      </c>
      <c r="W5" s="6"/>
      <c r="X5" s="6"/>
      <c r="Y5" s="6"/>
      <c r="Z5" s="6"/>
    </row>
    <row r="6" ht="15.75" customHeight="1">
      <c r="A6" s="12" t="s">
        <v>47</v>
      </c>
      <c r="B6" s="13">
        <v>32297.0</v>
      </c>
      <c r="C6" s="13">
        <v>11119.0</v>
      </c>
      <c r="D6" s="13">
        <v>14892.0</v>
      </c>
      <c r="E6" s="13">
        <f t="shared" si="1"/>
        <v>6286</v>
      </c>
      <c r="F6" s="13">
        <v>1215.0</v>
      </c>
      <c r="G6" s="13">
        <f t="shared" si="2"/>
        <v>5071</v>
      </c>
      <c r="H6" s="13">
        <v>46.23</v>
      </c>
      <c r="I6" s="13">
        <f t="shared" si="3"/>
        <v>32297</v>
      </c>
      <c r="J6" s="12" t="s">
        <v>20</v>
      </c>
      <c r="K6" s="6"/>
      <c r="L6" s="16"/>
      <c r="M6" s="16" t="s">
        <v>24</v>
      </c>
      <c r="N6" s="16">
        <v>138.0</v>
      </c>
      <c r="O6" s="6"/>
      <c r="P6" s="16"/>
      <c r="Q6" s="16" t="s">
        <v>53</v>
      </c>
      <c r="R6" s="16">
        <v>20.0</v>
      </c>
      <c r="S6" s="6"/>
      <c r="T6" s="6"/>
      <c r="U6" s="6" t="s">
        <v>55</v>
      </c>
      <c r="V6" s="6">
        <v>250.0</v>
      </c>
      <c r="W6" s="6"/>
      <c r="X6" s="6"/>
      <c r="Y6" s="6"/>
      <c r="Z6" s="6"/>
    </row>
    <row r="7" ht="15.75" customHeight="1">
      <c r="A7" s="12" t="s">
        <v>52</v>
      </c>
      <c r="B7" s="13">
        <v>36888.0</v>
      </c>
      <c r="C7" s="13">
        <v>6730.0</v>
      </c>
      <c r="D7" s="13">
        <v>23547.0</v>
      </c>
      <c r="E7" s="13">
        <f t="shared" si="1"/>
        <v>6611</v>
      </c>
      <c r="F7" s="13">
        <v>1327.0</v>
      </c>
      <c r="G7" s="13">
        <f t="shared" si="2"/>
        <v>5284</v>
      </c>
      <c r="H7" s="13">
        <v>36.41</v>
      </c>
      <c r="I7" s="13">
        <f t="shared" si="3"/>
        <v>36888</v>
      </c>
      <c r="J7" s="12" t="s">
        <v>20</v>
      </c>
      <c r="K7" s="6"/>
      <c r="L7" s="16"/>
      <c r="M7" s="16" t="s">
        <v>58</v>
      </c>
      <c r="N7" s="16">
        <v>930.0</v>
      </c>
      <c r="O7" s="6"/>
      <c r="P7" s="16" t="s">
        <v>59</v>
      </c>
      <c r="Q7" s="16" t="s">
        <v>22</v>
      </c>
      <c r="R7" s="16">
        <v>815.0</v>
      </c>
      <c r="S7" s="6"/>
      <c r="T7" s="6"/>
      <c r="U7" s="6" t="s">
        <v>39</v>
      </c>
      <c r="V7" s="6">
        <v>5.0</v>
      </c>
      <c r="W7" s="6"/>
      <c r="X7" s="6"/>
      <c r="Y7" s="6"/>
      <c r="Z7" s="6"/>
    </row>
    <row r="8" ht="15.75" customHeight="1">
      <c r="A8" s="12" t="s">
        <v>56</v>
      </c>
      <c r="B8" s="13">
        <v>48954.0</v>
      </c>
      <c r="C8" s="13">
        <v>9104.0</v>
      </c>
      <c r="D8" s="13">
        <v>28869.0</v>
      </c>
      <c r="E8" s="13">
        <f t="shared" si="1"/>
        <v>10981</v>
      </c>
      <c r="F8" s="13">
        <v>4518.0</v>
      </c>
      <c r="G8" s="13">
        <f t="shared" si="2"/>
        <v>6463</v>
      </c>
      <c r="H8" s="13">
        <v>97.02</v>
      </c>
      <c r="I8" s="13">
        <f t="shared" si="3"/>
        <v>48954</v>
      </c>
      <c r="J8" s="12" t="s">
        <v>20</v>
      </c>
      <c r="K8" s="6"/>
      <c r="L8" s="16"/>
      <c r="M8" s="16" t="s">
        <v>63</v>
      </c>
      <c r="N8" s="16">
        <v>320.0</v>
      </c>
      <c r="O8" s="6"/>
      <c r="P8" s="16"/>
      <c r="Q8" s="16" t="s">
        <v>22</v>
      </c>
      <c r="R8" s="16">
        <v>80.0</v>
      </c>
      <c r="S8" s="6"/>
      <c r="T8" s="20" t="s">
        <v>65</v>
      </c>
      <c r="U8" s="20" t="s">
        <v>22</v>
      </c>
      <c r="V8" s="20">
        <v>524.0</v>
      </c>
      <c r="W8" s="6"/>
      <c r="X8" s="6"/>
      <c r="Y8" s="6"/>
      <c r="Z8" s="6"/>
    </row>
    <row r="9" ht="15.75" customHeight="1">
      <c r="A9" s="12" t="s">
        <v>60</v>
      </c>
      <c r="B9" s="13">
        <v>57125.0</v>
      </c>
      <c r="C9" s="13">
        <v>11915.0</v>
      </c>
      <c r="D9" s="13">
        <v>25395.0</v>
      </c>
      <c r="E9" s="13">
        <f t="shared" si="1"/>
        <v>19815</v>
      </c>
      <c r="F9" s="13">
        <v>427.0</v>
      </c>
      <c r="G9" s="13">
        <f t="shared" si="2"/>
        <v>19388</v>
      </c>
      <c r="H9" s="13">
        <v>31.96</v>
      </c>
      <c r="I9" s="13">
        <f t="shared" si="3"/>
        <v>57125</v>
      </c>
      <c r="J9" s="12" t="s">
        <v>20</v>
      </c>
      <c r="K9" s="6"/>
      <c r="L9" s="16" t="s">
        <v>40</v>
      </c>
      <c r="M9" s="16" t="s">
        <v>69</v>
      </c>
      <c r="N9" s="16">
        <v>700.0</v>
      </c>
      <c r="O9" s="6"/>
      <c r="P9" s="16" t="s">
        <v>70</v>
      </c>
      <c r="Q9" s="16" t="s">
        <v>22</v>
      </c>
      <c r="R9" s="16">
        <v>465.0</v>
      </c>
      <c r="S9" s="6"/>
      <c r="T9" s="6"/>
      <c r="U9" s="20" t="s">
        <v>71</v>
      </c>
      <c r="V9" s="20">
        <v>540.0</v>
      </c>
      <c r="W9" s="6"/>
      <c r="X9" s="6"/>
      <c r="Y9" s="6"/>
      <c r="Z9" s="6"/>
    </row>
    <row r="10" ht="15.75" customHeight="1">
      <c r="A10" s="12" t="s">
        <v>64</v>
      </c>
      <c r="B10" s="13">
        <v>39315.0</v>
      </c>
      <c r="C10" s="13">
        <v>12857.0</v>
      </c>
      <c r="D10" s="13">
        <v>13181.0</v>
      </c>
      <c r="E10" s="13">
        <f t="shared" si="1"/>
        <v>13277</v>
      </c>
      <c r="F10" s="13">
        <v>523.0</v>
      </c>
      <c r="G10" s="13">
        <f t="shared" si="2"/>
        <v>12754</v>
      </c>
      <c r="H10" s="13">
        <v>29.03</v>
      </c>
      <c r="I10" s="13">
        <f t="shared" si="3"/>
        <v>39315</v>
      </c>
      <c r="J10" s="12" t="s">
        <v>72</v>
      </c>
      <c r="K10" s="6"/>
      <c r="L10" s="16" t="s">
        <v>47</v>
      </c>
      <c r="M10" s="16" t="s">
        <v>22</v>
      </c>
      <c r="N10" s="16">
        <v>503.0</v>
      </c>
      <c r="O10" s="6"/>
      <c r="P10" s="16" t="s">
        <v>75</v>
      </c>
      <c r="Q10" s="16" t="s">
        <v>22</v>
      </c>
      <c r="R10" s="16">
        <v>673.0</v>
      </c>
      <c r="S10" s="6"/>
      <c r="T10" s="6"/>
      <c r="U10" s="20" t="s">
        <v>76</v>
      </c>
      <c r="V10" s="20">
        <v>1000.0</v>
      </c>
      <c r="W10" s="6"/>
      <c r="X10" s="6"/>
      <c r="Y10" s="6"/>
      <c r="Z10" s="6"/>
    </row>
    <row r="11" ht="15.75" customHeight="1">
      <c r="A11" s="12" t="s">
        <v>68</v>
      </c>
      <c r="B11" s="13">
        <v>34047.0</v>
      </c>
      <c r="C11" s="13">
        <v>10812.0</v>
      </c>
      <c r="D11" s="13">
        <v>14428.0</v>
      </c>
      <c r="E11" s="13">
        <f t="shared" si="1"/>
        <v>8807</v>
      </c>
      <c r="F11" s="13">
        <v>1536.0</v>
      </c>
      <c r="G11" s="13">
        <f t="shared" si="2"/>
        <v>7271</v>
      </c>
      <c r="H11" s="13">
        <v>15.76</v>
      </c>
      <c r="I11" s="13">
        <f t="shared" si="3"/>
        <v>34047</v>
      </c>
      <c r="J11" s="12" t="s">
        <v>20</v>
      </c>
      <c r="K11" s="6"/>
      <c r="L11" s="16"/>
      <c r="M11" s="16" t="s">
        <v>78</v>
      </c>
      <c r="N11" s="16">
        <v>700.0</v>
      </c>
      <c r="O11" s="6"/>
      <c r="P11" s="16" t="s">
        <v>27</v>
      </c>
      <c r="Q11" s="16" t="s">
        <v>22</v>
      </c>
      <c r="R11" s="16">
        <v>723.0</v>
      </c>
      <c r="S11" s="6"/>
      <c r="T11" s="6"/>
      <c r="U11" s="6"/>
      <c r="V11" s="6"/>
      <c r="W11" s="6"/>
      <c r="X11" s="6"/>
      <c r="Y11" s="6"/>
      <c r="Z11" s="6"/>
    </row>
    <row r="12" ht="15.75" customHeight="1">
      <c r="A12" s="12" t="s">
        <v>23</v>
      </c>
      <c r="B12" s="13">
        <v>24238.0</v>
      </c>
      <c r="C12" s="13">
        <v>4900.0</v>
      </c>
      <c r="D12" s="13">
        <v>14024.0</v>
      </c>
      <c r="E12" s="13">
        <f t="shared" si="1"/>
        <v>5314</v>
      </c>
      <c r="F12" s="13">
        <v>3933.0</v>
      </c>
      <c r="G12" s="13">
        <f t="shared" si="2"/>
        <v>1381</v>
      </c>
      <c r="H12" s="13">
        <v>2.76</v>
      </c>
      <c r="I12" s="13">
        <f t="shared" si="3"/>
        <v>24238</v>
      </c>
      <c r="J12" s="12" t="s">
        <v>20</v>
      </c>
      <c r="K12" s="6"/>
      <c r="L12" s="16"/>
      <c r="M12" s="16" t="s">
        <v>35</v>
      </c>
      <c r="N12" s="16">
        <v>12.0</v>
      </c>
      <c r="O12" s="6"/>
      <c r="P12" s="16"/>
      <c r="Q12" s="16" t="s">
        <v>22</v>
      </c>
      <c r="R12" s="16">
        <v>281.0</v>
      </c>
      <c r="S12" s="6"/>
      <c r="T12" s="6"/>
      <c r="U12" s="6"/>
      <c r="V12" s="6"/>
      <c r="W12" s="6"/>
      <c r="X12" s="6"/>
      <c r="Y12" s="6"/>
      <c r="Z12" s="6"/>
    </row>
    <row r="13" ht="15.75" customHeight="1">
      <c r="A13" s="12" t="s">
        <v>59</v>
      </c>
      <c r="B13" s="13">
        <v>169502.0</v>
      </c>
      <c r="C13" s="13">
        <v>17983.0</v>
      </c>
      <c r="D13" s="13">
        <v>95244.0</v>
      </c>
      <c r="E13" s="13">
        <f t="shared" si="1"/>
        <v>56275</v>
      </c>
      <c r="F13" s="13">
        <v>895.0</v>
      </c>
      <c r="G13" s="13">
        <f t="shared" si="2"/>
        <v>55380</v>
      </c>
      <c r="H13" s="13">
        <v>161.19</v>
      </c>
      <c r="I13" s="13">
        <f t="shared" si="3"/>
        <v>169502</v>
      </c>
      <c r="J13" s="12" t="s">
        <v>20</v>
      </c>
      <c r="K13" s="6"/>
      <c r="L13" s="16" t="s">
        <v>52</v>
      </c>
      <c r="M13" s="16" t="s">
        <v>82</v>
      </c>
      <c r="N13" s="16">
        <v>560.0</v>
      </c>
      <c r="O13" s="6"/>
      <c r="P13" s="16" t="s">
        <v>31</v>
      </c>
      <c r="Q13" s="16" t="s">
        <v>22</v>
      </c>
      <c r="R13" s="16">
        <v>805.0</v>
      </c>
      <c r="S13" s="6"/>
      <c r="T13" s="6"/>
      <c r="U13" s="6"/>
      <c r="V13" s="6"/>
      <c r="W13" s="6"/>
      <c r="X13" s="6"/>
      <c r="Y13" s="6"/>
      <c r="Z13" s="6"/>
    </row>
    <row r="14" ht="15.75" customHeight="1">
      <c r="A14" s="12" t="s">
        <v>70</v>
      </c>
      <c r="B14" s="13">
        <v>51284.0</v>
      </c>
      <c r="C14" s="13">
        <v>8402.0</v>
      </c>
      <c r="D14" s="13">
        <v>29700.0</v>
      </c>
      <c r="E14" s="13">
        <f t="shared" si="1"/>
        <v>13182</v>
      </c>
      <c r="F14" s="13">
        <v>465.0</v>
      </c>
      <c r="G14" s="13">
        <f t="shared" si="2"/>
        <v>12717</v>
      </c>
      <c r="H14" s="13">
        <v>78.09</v>
      </c>
      <c r="I14" s="13">
        <f t="shared" si="3"/>
        <v>51284</v>
      </c>
      <c r="J14" s="12" t="s">
        <v>84</v>
      </c>
      <c r="K14" s="6"/>
      <c r="L14" s="16"/>
      <c r="M14" s="16" t="s">
        <v>22</v>
      </c>
      <c r="N14" s="16">
        <v>422.0</v>
      </c>
      <c r="O14" s="6"/>
      <c r="P14" s="16"/>
      <c r="Q14" s="16" t="s">
        <v>85</v>
      </c>
      <c r="R14" s="16">
        <v>950.0</v>
      </c>
      <c r="S14" s="6"/>
      <c r="T14" s="6"/>
      <c r="U14" s="6"/>
      <c r="V14" s="6"/>
      <c r="W14" s="6"/>
      <c r="X14" s="6"/>
      <c r="Y14" s="6"/>
      <c r="Z14" s="6"/>
    </row>
    <row r="15" ht="15.75" customHeight="1">
      <c r="A15" s="12" t="s">
        <v>75</v>
      </c>
      <c r="B15" s="13">
        <v>76803.0</v>
      </c>
      <c r="C15" s="13">
        <v>17830.0</v>
      </c>
      <c r="D15" s="13">
        <v>47298.0</v>
      </c>
      <c r="E15" s="13">
        <f t="shared" si="1"/>
        <v>11675</v>
      </c>
      <c r="F15" s="13">
        <v>673.0</v>
      </c>
      <c r="G15" s="13">
        <f t="shared" si="2"/>
        <v>11002</v>
      </c>
      <c r="H15" s="13">
        <v>119.1</v>
      </c>
      <c r="I15" s="13">
        <f t="shared" si="3"/>
        <v>76803</v>
      </c>
      <c r="J15" s="12" t="s">
        <v>87</v>
      </c>
      <c r="K15" s="6"/>
      <c r="L15" s="16"/>
      <c r="M15" s="16" t="s">
        <v>22</v>
      </c>
      <c r="N15" s="16">
        <v>285.0</v>
      </c>
      <c r="O15" s="6"/>
      <c r="P15" s="16" t="s">
        <v>46</v>
      </c>
      <c r="Q15" s="16" t="s">
        <v>22</v>
      </c>
      <c r="R15" s="16">
        <v>448.0</v>
      </c>
      <c r="S15" s="6"/>
      <c r="T15" s="6"/>
      <c r="U15" s="6"/>
      <c r="V15" s="6"/>
      <c r="W15" s="6"/>
      <c r="X15" s="6"/>
      <c r="Y15" s="6"/>
      <c r="Z15" s="6"/>
    </row>
    <row r="16" ht="15.75" customHeight="1">
      <c r="A16" s="12" t="s">
        <v>27</v>
      </c>
      <c r="B16" s="13">
        <v>49244.0</v>
      </c>
      <c r="C16" s="13">
        <v>7661.0</v>
      </c>
      <c r="D16" s="13">
        <v>28700.0</v>
      </c>
      <c r="E16" s="13">
        <f t="shared" si="1"/>
        <v>12883</v>
      </c>
      <c r="F16" s="13">
        <v>1004.0</v>
      </c>
      <c r="G16" s="13">
        <f t="shared" si="2"/>
        <v>11879</v>
      </c>
      <c r="H16" s="13">
        <v>58.31</v>
      </c>
      <c r="I16" s="13">
        <f t="shared" si="3"/>
        <v>49244</v>
      </c>
      <c r="J16" s="12" t="s">
        <v>91</v>
      </c>
      <c r="K16" s="6"/>
      <c r="L16" s="16"/>
      <c r="M16" s="16" t="s">
        <v>24</v>
      </c>
      <c r="N16" s="16">
        <v>60.0</v>
      </c>
      <c r="O16" s="6"/>
      <c r="P16" s="16"/>
      <c r="Q16" s="16" t="s">
        <v>39</v>
      </c>
      <c r="R16" s="16">
        <v>10.0</v>
      </c>
      <c r="S16" s="6"/>
      <c r="T16" s="6"/>
      <c r="U16" s="6"/>
      <c r="V16" s="6"/>
      <c r="W16" s="6"/>
      <c r="X16" s="6"/>
      <c r="Y16" s="6"/>
      <c r="Z16" s="6"/>
    </row>
    <row r="17" ht="15.75" customHeight="1">
      <c r="A17" s="12" t="s">
        <v>31</v>
      </c>
      <c r="B17" s="13">
        <v>27691.0</v>
      </c>
      <c r="C17" s="13">
        <v>3468.0</v>
      </c>
      <c r="D17" s="13">
        <v>16694.0</v>
      </c>
      <c r="E17" s="13">
        <f t="shared" si="1"/>
        <v>7529</v>
      </c>
      <c r="F17" s="13">
        <v>1755.0</v>
      </c>
      <c r="G17" s="13">
        <f t="shared" si="2"/>
        <v>5774</v>
      </c>
      <c r="H17" s="13">
        <v>44.9</v>
      </c>
      <c r="I17" s="13">
        <f t="shared" si="3"/>
        <v>27691</v>
      </c>
      <c r="J17" s="12" t="s">
        <v>20</v>
      </c>
      <c r="K17" s="6"/>
      <c r="L17" s="16" t="s">
        <v>56</v>
      </c>
      <c r="M17" s="16" t="s">
        <v>97</v>
      </c>
      <c r="N17" s="16">
        <v>3800.0</v>
      </c>
      <c r="O17" s="6"/>
      <c r="P17" s="16" t="s">
        <v>51</v>
      </c>
      <c r="Q17" s="16" t="s">
        <v>38</v>
      </c>
      <c r="R17" s="16">
        <v>350.0</v>
      </c>
      <c r="S17" s="6"/>
      <c r="T17" s="6"/>
      <c r="U17" s="6"/>
      <c r="V17" s="6"/>
      <c r="W17" s="6"/>
      <c r="X17" s="6"/>
      <c r="Y17" s="6"/>
      <c r="Z17" s="6"/>
    </row>
    <row r="18" ht="15.75" customHeight="1">
      <c r="A18" s="12" t="s">
        <v>46</v>
      </c>
      <c r="B18" s="13">
        <v>33396.0</v>
      </c>
      <c r="C18" s="13">
        <v>7683.0</v>
      </c>
      <c r="D18" s="13">
        <v>18444.0</v>
      </c>
      <c r="E18" s="13">
        <f t="shared" si="1"/>
        <v>7269</v>
      </c>
      <c r="F18" s="13">
        <v>458.0</v>
      </c>
      <c r="G18" s="13">
        <f t="shared" si="2"/>
        <v>6811</v>
      </c>
      <c r="H18" s="13">
        <v>0.0</v>
      </c>
      <c r="I18" s="13">
        <f t="shared" si="3"/>
        <v>33396</v>
      </c>
      <c r="J18" s="12" t="s">
        <v>20</v>
      </c>
      <c r="K18" s="6"/>
      <c r="L18" s="16"/>
      <c r="M18" s="16" t="s">
        <v>22</v>
      </c>
      <c r="N18" s="16">
        <v>576.0</v>
      </c>
      <c r="O18" s="6"/>
      <c r="P18" s="16"/>
      <c r="Q18" s="16" t="s">
        <v>22</v>
      </c>
      <c r="R18" s="16">
        <v>705.0</v>
      </c>
      <c r="S18" s="6"/>
      <c r="T18" s="6"/>
      <c r="U18" s="6"/>
      <c r="V18" s="6"/>
      <c r="W18" s="6"/>
      <c r="X18" s="6"/>
      <c r="Y18" s="6"/>
      <c r="Z18" s="6"/>
    </row>
    <row r="19" ht="15.75" customHeight="1">
      <c r="A19" s="12" t="s">
        <v>51</v>
      </c>
      <c r="B19" s="13">
        <v>39118.0</v>
      </c>
      <c r="C19" s="13">
        <v>9646.0</v>
      </c>
      <c r="D19" s="13">
        <v>21387.0</v>
      </c>
      <c r="E19" s="13">
        <f t="shared" si="1"/>
        <v>8085</v>
      </c>
      <c r="F19" s="13">
        <v>1055.0</v>
      </c>
      <c r="G19" s="13">
        <f t="shared" si="2"/>
        <v>7030</v>
      </c>
      <c r="H19" s="13">
        <v>62.64</v>
      </c>
      <c r="I19" s="13">
        <f t="shared" si="3"/>
        <v>39118</v>
      </c>
      <c r="J19" s="12" t="s">
        <v>20</v>
      </c>
      <c r="K19" s="6"/>
      <c r="L19" s="16"/>
      <c r="M19" s="16" t="s">
        <v>22</v>
      </c>
      <c r="N19" s="16">
        <v>142.0</v>
      </c>
      <c r="O19" s="6"/>
      <c r="P19" s="16" t="s">
        <v>57</v>
      </c>
      <c r="Q19" s="16" t="s">
        <v>24</v>
      </c>
      <c r="R19" s="16">
        <v>59.0</v>
      </c>
      <c r="S19" s="6"/>
      <c r="T19" s="6"/>
      <c r="U19" s="6"/>
      <c r="V19" s="6"/>
      <c r="W19" s="6"/>
      <c r="X19" s="6"/>
      <c r="Y19" s="6"/>
      <c r="Z19" s="6"/>
    </row>
    <row r="20" ht="15.75" customHeight="1">
      <c r="A20" s="12" t="s">
        <v>57</v>
      </c>
      <c r="B20" s="13">
        <v>34193.0</v>
      </c>
      <c r="C20" s="13">
        <v>5618.0</v>
      </c>
      <c r="D20" s="13">
        <v>18995.0</v>
      </c>
      <c r="E20" s="13">
        <f>(B20-D20-C20)</f>
        <v>9580</v>
      </c>
      <c r="F20" s="13">
        <v>59.0</v>
      </c>
      <c r="G20" s="13">
        <f t="shared" si="2"/>
        <v>9521</v>
      </c>
      <c r="H20" s="13">
        <v>0.0</v>
      </c>
      <c r="I20" s="13">
        <f>sum(D20+C20+F20+G20)</f>
        <v>34193</v>
      </c>
      <c r="J20" s="12" t="s">
        <v>108</v>
      </c>
      <c r="K20" s="6"/>
      <c r="L20" s="16" t="s">
        <v>60</v>
      </c>
      <c r="M20" s="16" t="s">
        <v>22</v>
      </c>
      <c r="N20" s="16">
        <v>427.0</v>
      </c>
      <c r="O20" s="6"/>
      <c r="P20" s="16" t="s">
        <v>62</v>
      </c>
      <c r="Q20" s="16" t="s">
        <v>22</v>
      </c>
      <c r="R20" s="16">
        <v>472.0</v>
      </c>
      <c r="S20" s="6"/>
      <c r="T20" s="6"/>
      <c r="U20" s="6"/>
      <c r="V20" s="6"/>
      <c r="W20" s="6"/>
      <c r="X20" s="6"/>
      <c r="Y20" s="6"/>
      <c r="Z20" s="6"/>
    </row>
    <row r="21" ht="15.75" customHeight="1">
      <c r="A21" s="12" t="s">
        <v>62</v>
      </c>
      <c r="B21" s="13">
        <v>39387.0</v>
      </c>
      <c r="C21" s="13">
        <v>9209.0</v>
      </c>
      <c r="D21" s="13">
        <v>20779.0</v>
      </c>
      <c r="E21" s="13">
        <f t="shared" ref="E21:E29" si="4">(B21-C21-D21)</f>
        <v>9399</v>
      </c>
      <c r="F21" s="13">
        <v>502.0</v>
      </c>
      <c r="G21" s="13">
        <f t="shared" si="2"/>
        <v>8897</v>
      </c>
      <c r="H21" s="13">
        <v>0.0</v>
      </c>
      <c r="I21" s="13">
        <f t="shared" ref="I21:I29" si="5">sum(C21+D21+F21+G21)</f>
        <v>39387</v>
      </c>
      <c r="J21" s="12" t="s">
        <v>20</v>
      </c>
      <c r="K21" s="6"/>
      <c r="L21" s="16" t="s">
        <v>64</v>
      </c>
      <c r="M21" s="16" t="s">
        <v>22</v>
      </c>
      <c r="N21" s="16">
        <v>523.0</v>
      </c>
      <c r="O21" s="6"/>
      <c r="P21" s="16"/>
      <c r="Q21" s="16" t="s">
        <v>35</v>
      </c>
      <c r="R21" s="16">
        <v>10.0</v>
      </c>
      <c r="S21" s="6"/>
      <c r="T21" s="6"/>
      <c r="U21" s="6"/>
      <c r="V21" s="6"/>
      <c r="W21" s="6"/>
      <c r="X21" s="6"/>
      <c r="Y21" s="6"/>
      <c r="Z21" s="6"/>
    </row>
    <row r="22" ht="15.75" customHeight="1">
      <c r="A22" s="12" t="s">
        <v>67</v>
      </c>
      <c r="B22" s="13">
        <v>58026.0</v>
      </c>
      <c r="C22" s="13">
        <v>13919.0</v>
      </c>
      <c r="D22" s="26">
        <v>32855.0</v>
      </c>
      <c r="E22" s="13">
        <f t="shared" si="4"/>
        <v>11252</v>
      </c>
      <c r="F22" s="13">
        <v>994.0</v>
      </c>
      <c r="G22" s="13">
        <f t="shared" si="2"/>
        <v>10258</v>
      </c>
      <c r="H22" s="13">
        <v>0.0</v>
      </c>
      <c r="I22" s="13">
        <f t="shared" si="5"/>
        <v>58026</v>
      </c>
      <c r="J22" s="12" t="s">
        <v>20</v>
      </c>
      <c r="K22" s="6"/>
      <c r="L22" s="16" t="s">
        <v>68</v>
      </c>
      <c r="M22" s="16" t="s">
        <v>22</v>
      </c>
      <c r="N22" s="16">
        <v>546.0</v>
      </c>
      <c r="O22" s="6"/>
      <c r="P22" s="16"/>
      <c r="Q22" s="16" t="s">
        <v>39</v>
      </c>
      <c r="R22" s="16">
        <v>20.0</v>
      </c>
      <c r="S22" s="6"/>
      <c r="T22" s="6"/>
      <c r="U22" s="6"/>
      <c r="V22" s="6"/>
      <c r="W22" s="6"/>
      <c r="X22" s="6"/>
      <c r="Y22" s="6"/>
      <c r="Z22" s="6"/>
    </row>
    <row r="23" ht="15.75" customHeight="1">
      <c r="A23" s="12" t="s">
        <v>74</v>
      </c>
      <c r="B23" s="13">
        <v>73582.0</v>
      </c>
      <c r="C23" s="13">
        <v>19929.0</v>
      </c>
      <c r="D23" s="13">
        <v>37201.0</v>
      </c>
      <c r="E23" s="13">
        <f t="shared" si="4"/>
        <v>16452</v>
      </c>
      <c r="F23" s="13">
        <v>1058.0</v>
      </c>
      <c r="G23" s="13">
        <f t="shared" si="2"/>
        <v>15394</v>
      </c>
      <c r="H23" s="13">
        <v>18.32</v>
      </c>
      <c r="I23" s="13">
        <f t="shared" si="5"/>
        <v>73582</v>
      </c>
      <c r="J23" s="12" t="s">
        <v>117</v>
      </c>
      <c r="K23" s="6"/>
      <c r="L23" s="16"/>
      <c r="M23" s="16" t="s">
        <v>119</v>
      </c>
      <c r="N23" s="16">
        <v>600.0</v>
      </c>
      <c r="O23" s="6"/>
      <c r="P23" s="16" t="s">
        <v>67</v>
      </c>
      <c r="Q23" s="16" t="s">
        <v>22</v>
      </c>
      <c r="R23" s="16">
        <v>794.0</v>
      </c>
      <c r="S23" s="6"/>
      <c r="T23" s="6"/>
      <c r="U23" s="6"/>
      <c r="V23" s="6"/>
      <c r="W23" s="6"/>
      <c r="X23" s="6"/>
      <c r="Y23" s="6"/>
      <c r="Z23" s="6"/>
    </row>
    <row r="24" ht="15.75" customHeight="1">
      <c r="A24" s="12" t="s">
        <v>77</v>
      </c>
      <c r="B24" s="13">
        <v>26472.0</v>
      </c>
      <c r="C24" s="13">
        <v>5490.0</v>
      </c>
      <c r="D24" s="13">
        <v>12932.0</v>
      </c>
      <c r="E24" s="13">
        <f t="shared" si="4"/>
        <v>8050</v>
      </c>
      <c r="F24" s="13">
        <v>272.0</v>
      </c>
      <c r="G24" s="13">
        <f t="shared" si="2"/>
        <v>7778</v>
      </c>
      <c r="H24" s="13">
        <v>7.92</v>
      </c>
      <c r="I24" s="13">
        <f t="shared" si="5"/>
        <v>26472</v>
      </c>
      <c r="J24" s="12" t="s">
        <v>20</v>
      </c>
      <c r="K24" s="6"/>
      <c r="L24" s="16"/>
      <c r="M24" s="16" t="s">
        <v>112</v>
      </c>
      <c r="N24" s="16">
        <v>25.0</v>
      </c>
      <c r="O24" s="6"/>
      <c r="P24" s="16"/>
      <c r="Q24" s="16" t="s">
        <v>120</v>
      </c>
      <c r="R24" s="16">
        <v>200.0</v>
      </c>
      <c r="S24" s="6"/>
      <c r="T24" s="6"/>
      <c r="U24" s="6"/>
      <c r="V24" s="6"/>
      <c r="W24" s="6"/>
      <c r="X24" s="6"/>
      <c r="Y24" s="6"/>
      <c r="Z24" s="6"/>
    </row>
    <row r="25" ht="15.75" customHeight="1">
      <c r="A25" s="12" t="s">
        <v>88</v>
      </c>
      <c r="B25" s="13">
        <v>30078.0</v>
      </c>
      <c r="C25" s="13">
        <v>8693.0</v>
      </c>
      <c r="D25" s="13">
        <v>15316.0</v>
      </c>
      <c r="E25" s="13">
        <f t="shared" si="4"/>
        <v>6069</v>
      </c>
      <c r="F25" s="13">
        <v>853.0</v>
      </c>
      <c r="G25" s="13">
        <f t="shared" si="2"/>
        <v>5216</v>
      </c>
      <c r="H25" s="13">
        <v>5.31</v>
      </c>
      <c r="I25" s="13">
        <f t="shared" si="5"/>
        <v>30078</v>
      </c>
      <c r="J25" s="12" t="s">
        <v>20</v>
      </c>
      <c r="K25" s="6"/>
      <c r="L25" s="16"/>
      <c r="M25" s="16" t="s">
        <v>38</v>
      </c>
      <c r="N25" s="16">
        <v>350.0</v>
      </c>
      <c r="O25" s="6"/>
      <c r="P25" s="16" t="s">
        <v>74</v>
      </c>
      <c r="Q25" s="16" t="s">
        <v>22</v>
      </c>
      <c r="R25" s="16">
        <v>612.0</v>
      </c>
      <c r="S25" s="6"/>
      <c r="T25" s="6"/>
      <c r="U25" s="6"/>
      <c r="V25" s="6"/>
      <c r="W25" s="6"/>
      <c r="X25" s="6"/>
      <c r="Y25" s="6"/>
      <c r="Z25" s="6"/>
    </row>
    <row r="26" ht="15.75" customHeight="1">
      <c r="A26" s="12" t="s">
        <v>98</v>
      </c>
      <c r="B26" s="13">
        <v>34441.0</v>
      </c>
      <c r="C26" s="13">
        <v>8623.0</v>
      </c>
      <c r="D26" s="13">
        <v>14285.0</v>
      </c>
      <c r="E26" s="13">
        <f t="shared" si="4"/>
        <v>11533</v>
      </c>
      <c r="F26" s="13">
        <v>0.0</v>
      </c>
      <c r="G26" s="13">
        <f t="shared" si="2"/>
        <v>11533</v>
      </c>
      <c r="H26" s="13">
        <v>0.0</v>
      </c>
      <c r="I26" s="13">
        <f t="shared" si="5"/>
        <v>34441</v>
      </c>
      <c r="J26" s="12" t="s">
        <v>20</v>
      </c>
      <c r="K26" s="6"/>
      <c r="L26" s="16"/>
      <c r="M26" s="16" t="s">
        <v>35</v>
      </c>
      <c r="N26" s="16">
        <v>15.0</v>
      </c>
      <c r="O26" s="6"/>
      <c r="P26" s="16"/>
      <c r="Q26" s="16" t="s">
        <v>24</v>
      </c>
      <c r="R26" s="16">
        <v>297.0</v>
      </c>
      <c r="S26" s="6"/>
      <c r="T26" s="6"/>
      <c r="U26" s="6"/>
      <c r="V26" s="6"/>
      <c r="W26" s="6"/>
      <c r="X26" s="6"/>
      <c r="Y26" s="6"/>
      <c r="Z26" s="6"/>
    </row>
    <row r="27" ht="15.75" customHeight="1">
      <c r="A27" s="12" t="s">
        <v>25</v>
      </c>
      <c r="B27" s="13">
        <v>28266.0</v>
      </c>
      <c r="C27" s="13">
        <v>6950.0</v>
      </c>
      <c r="D27" s="13">
        <v>11166.0</v>
      </c>
      <c r="E27" s="13">
        <f t="shared" si="4"/>
        <v>10150</v>
      </c>
      <c r="F27" s="13">
        <v>791.0</v>
      </c>
      <c r="G27" s="13">
        <f t="shared" si="2"/>
        <v>9359</v>
      </c>
      <c r="H27" s="13">
        <v>12.77</v>
      </c>
      <c r="I27" s="13">
        <f t="shared" si="5"/>
        <v>28266</v>
      </c>
      <c r="J27" s="12" t="s">
        <v>20</v>
      </c>
      <c r="K27" s="6"/>
      <c r="L27" s="6"/>
      <c r="M27" s="6"/>
      <c r="N27" s="6"/>
      <c r="O27" s="6"/>
      <c r="P27" s="16"/>
      <c r="Q27" s="16" t="s">
        <v>122</v>
      </c>
      <c r="R27" s="16">
        <v>149.0</v>
      </c>
      <c r="S27" s="6"/>
      <c r="T27" s="6"/>
      <c r="U27" s="6"/>
      <c r="V27" s="6"/>
      <c r="W27" s="6"/>
      <c r="X27" s="6"/>
      <c r="Y27" s="6"/>
      <c r="Z27" s="6"/>
    </row>
    <row r="28" ht="15.75" customHeight="1">
      <c r="A28" s="12" t="s">
        <v>49</v>
      </c>
      <c r="B28" s="13">
        <v>36889.0</v>
      </c>
      <c r="C28" s="13">
        <v>12771.0</v>
      </c>
      <c r="D28" s="13">
        <v>17803.0</v>
      </c>
      <c r="E28" s="13">
        <f t="shared" si="4"/>
        <v>6315</v>
      </c>
      <c r="F28" s="13">
        <v>518.0</v>
      </c>
      <c r="G28" s="13">
        <f t="shared" si="2"/>
        <v>5797</v>
      </c>
      <c r="H28" s="21">
        <v>0.0</v>
      </c>
      <c r="I28" s="13">
        <f t="shared" si="5"/>
        <v>36889</v>
      </c>
      <c r="J28" s="12" t="s">
        <v>20</v>
      </c>
      <c r="K28" s="6"/>
      <c r="L28" s="6"/>
      <c r="M28" s="6"/>
      <c r="N28" s="6"/>
      <c r="O28" s="6"/>
      <c r="P28" s="16" t="s">
        <v>77</v>
      </c>
      <c r="Q28" s="16" t="s">
        <v>22</v>
      </c>
      <c r="R28" s="16">
        <v>272.0</v>
      </c>
      <c r="S28" s="6"/>
      <c r="T28" s="6"/>
      <c r="U28" s="6"/>
      <c r="V28" s="6"/>
      <c r="W28" s="6"/>
      <c r="X28" s="6"/>
      <c r="Y28" s="6"/>
      <c r="Z28" s="6"/>
    </row>
    <row r="29" ht="15.75" customHeight="1">
      <c r="A29" s="12" t="s">
        <v>65</v>
      </c>
      <c r="B29" s="21">
        <v>48903.0</v>
      </c>
      <c r="C29" s="21">
        <v>10555.0</v>
      </c>
      <c r="D29" s="21">
        <v>27643.0</v>
      </c>
      <c r="E29" s="13">
        <f t="shared" si="4"/>
        <v>10705</v>
      </c>
      <c r="F29" s="21">
        <v>2064.0</v>
      </c>
      <c r="G29" s="13">
        <f t="shared" si="2"/>
        <v>8641</v>
      </c>
      <c r="H29" s="21">
        <v>0.0</v>
      </c>
      <c r="I29" s="13">
        <f t="shared" si="5"/>
        <v>48903</v>
      </c>
      <c r="J29" s="22" t="s">
        <v>20</v>
      </c>
      <c r="K29" s="6"/>
      <c r="L29" s="6"/>
      <c r="M29" s="6"/>
      <c r="N29" s="6"/>
      <c r="O29" s="6"/>
      <c r="P29" s="16" t="s">
        <v>88</v>
      </c>
      <c r="Q29" s="16" t="s">
        <v>22</v>
      </c>
      <c r="R29" s="16">
        <v>853.0</v>
      </c>
      <c r="S29" s="6"/>
      <c r="T29" s="6"/>
      <c r="U29" s="6"/>
      <c r="V29" s="6"/>
      <c r="W29" s="6"/>
      <c r="X29" s="6"/>
      <c r="Y29" s="6"/>
      <c r="Z29" s="6"/>
    </row>
    <row r="30" ht="15.75" customHeight="1">
      <c r="A30" s="28"/>
      <c r="B30" s="29">
        <f t="shared" ref="B30:I30" si="6">SUM(B2:B29)</f>
        <v>1279534</v>
      </c>
      <c r="C30" s="29">
        <f t="shared" si="6"/>
        <v>273808</v>
      </c>
      <c r="D30" s="29">
        <f t="shared" si="6"/>
        <v>687771</v>
      </c>
      <c r="E30" s="29">
        <f t="shared" si="6"/>
        <v>317955</v>
      </c>
      <c r="F30" s="29">
        <f t="shared" si="6"/>
        <v>31249</v>
      </c>
      <c r="G30" s="29">
        <f t="shared" si="6"/>
        <v>286706</v>
      </c>
      <c r="H30" s="29">
        <f t="shared" si="6"/>
        <v>957.05</v>
      </c>
      <c r="I30" s="29">
        <f t="shared" si="6"/>
        <v>1279534</v>
      </c>
      <c r="J30" s="2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3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75"/>
    <col customWidth="1" min="3" max="3" width="14.75"/>
    <col customWidth="1" min="4" max="5" width="7.63"/>
    <col customWidth="1" min="6" max="6" width="9.75"/>
    <col customWidth="1" min="7" max="7" width="14.5"/>
    <col customWidth="1" min="8" max="8" width="8.5"/>
    <col customWidth="1" min="9" max="9" width="8.75"/>
    <col customWidth="1" min="10" max="10" width="24.38"/>
    <col customWidth="1" min="13" max="13" width="5.25"/>
    <col customWidth="1" min="14" max="14" width="14.13"/>
    <col customWidth="1" min="15" max="15" width="7.88"/>
    <col customWidth="1" min="17" max="17" width="5.25"/>
    <col customWidth="1" min="18" max="18" width="11.63"/>
    <col customWidth="1" min="19" max="19" width="7.88"/>
    <col customWidth="1" min="21" max="21" width="5.25"/>
    <col customWidth="1" min="22" max="22" width="13.5"/>
    <col customWidth="1" min="23" max="23" width="7.88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M1" s="8" t="s">
        <v>1</v>
      </c>
      <c r="N1" s="8" t="s">
        <v>14</v>
      </c>
      <c r="O1" s="8" t="s">
        <v>15</v>
      </c>
      <c r="Q1" s="8" t="s">
        <v>1</v>
      </c>
      <c r="R1" s="8" t="s">
        <v>14</v>
      </c>
      <c r="S1" s="8" t="s">
        <v>15</v>
      </c>
      <c r="U1" s="8" t="s">
        <v>1</v>
      </c>
      <c r="V1" s="8" t="s">
        <v>14</v>
      </c>
      <c r="W1" s="8" t="s">
        <v>15</v>
      </c>
    </row>
    <row r="2">
      <c r="A2" s="12" t="s">
        <v>16</v>
      </c>
      <c r="B2" s="21">
        <v>76837.0</v>
      </c>
      <c r="C2" s="21">
        <v>20449.0</v>
      </c>
      <c r="D2" s="21">
        <v>32740.0</v>
      </c>
      <c r="E2" s="13">
        <f t="shared" ref="E2:E32" si="1">(B2-C2-D2)</f>
        <v>23648</v>
      </c>
      <c r="F2" s="21">
        <v>920.0</v>
      </c>
      <c r="G2" s="13">
        <f t="shared" ref="G2:G32" si="2">(E2-F2)</f>
        <v>22728</v>
      </c>
      <c r="H2" s="21">
        <v>0.0</v>
      </c>
      <c r="I2" s="13">
        <f t="shared" ref="I2:I32" si="3">sum(C2+D2+F2+G2)</f>
        <v>76837</v>
      </c>
      <c r="J2" s="22" t="s">
        <v>79</v>
      </c>
      <c r="M2" s="16" t="s">
        <v>16</v>
      </c>
      <c r="N2" s="16" t="s">
        <v>22</v>
      </c>
      <c r="O2" s="23">
        <v>920.0</v>
      </c>
      <c r="Q2" s="24" t="s">
        <v>27</v>
      </c>
      <c r="R2" s="24" t="s">
        <v>81</v>
      </c>
      <c r="S2" s="23">
        <v>3600.0</v>
      </c>
      <c r="U2" s="24" t="s">
        <v>49</v>
      </c>
      <c r="V2" s="24" t="s">
        <v>22</v>
      </c>
      <c r="W2" s="23">
        <v>868.0</v>
      </c>
    </row>
    <row r="3">
      <c r="A3" s="22" t="s">
        <v>28</v>
      </c>
      <c r="B3" s="21">
        <v>27542.0</v>
      </c>
      <c r="C3" s="21">
        <v>6721.0</v>
      </c>
      <c r="D3" s="21">
        <v>13400.0</v>
      </c>
      <c r="E3" s="13">
        <f t="shared" si="1"/>
        <v>7421</v>
      </c>
      <c r="F3" s="21">
        <v>2287.0</v>
      </c>
      <c r="G3" s="13">
        <f t="shared" si="2"/>
        <v>5134</v>
      </c>
      <c r="H3" s="21">
        <v>0.0</v>
      </c>
      <c r="I3" s="13">
        <f t="shared" si="3"/>
        <v>27542</v>
      </c>
      <c r="J3" s="22" t="s">
        <v>20</v>
      </c>
      <c r="M3" s="4" t="s">
        <v>28</v>
      </c>
      <c r="N3" s="4" t="s">
        <v>22</v>
      </c>
      <c r="O3" s="4">
        <v>682.0</v>
      </c>
      <c r="Q3" s="4"/>
      <c r="R3" s="4" t="s">
        <v>22</v>
      </c>
      <c r="S3" s="4">
        <v>667.0</v>
      </c>
      <c r="U3" s="4"/>
      <c r="V3" s="4" t="s">
        <v>35</v>
      </c>
      <c r="W3" s="4">
        <v>10.0</v>
      </c>
    </row>
    <row r="4">
      <c r="A4" s="22" t="s">
        <v>33</v>
      </c>
      <c r="B4" s="21">
        <v>39470.0</v>
      </c>
      <c r="C4" s="21">
        <v>16923.0</v>
      </c>
      <c r="D4" s="21">
        <v>13644.0</v>
      </c>
      <c r="E4" s="13">
        <f t="shared" si="1"/>
        <v>8903</v>
      </c>
      <c r="F4" s="21">
        <v>453.0</v>
      </c>
      <c r="G4" s="13">
        <f t="shared" si="2"/>
        <v>8450</v>
      </c>
      <c r="H4" s="21">
        <v>0.0</v>
      </c>
      <c r="I4" s="13">
        <f t="shared" si="3"/>
        <v>39470</v>
      </c>
      <c r="J4" s="22" t="s">
        <v>20</v>
      </c>
      <c r="M4" s="15"/>
      <c r="N4" s="4" t="s">
        <v>86</v>
      </c>
      <c r="O4" s="4">
        <v>1500.0</v>
      </c>
      <c r="Q4" s="15"/>
      <c r="R4" s="4" t="s">
        <v>22</v>
      </c>
      <c r="S4" s="4">
        <v>67.0</v>
      </c>
      <c r="U4" s="4" t="s">
        <v>65</v>
      </c>
      <c r="V4" s="4" t="s">
        <v>22</v>
      </c>
      <c r="W4" s="4">
        <v>837.0</v>
      </c>
    </row>
    <row r="5">
      <c r="A5" s="12" t="s">
        <v>40</v>
      </c>
      <c r="B5" s="21">
        <v>35275.0</v>
      </c>
      <c r="C5" s="21">
        <v>9888.0</v>
      </c>
      <c r="D5" s="21">
        <v>18431.0</v>
      </c>
      <c r="E5" s="13">
        <f t="shared" si="1"/>
        <v>6956</v>
      </c>
      <c r="F5" s="21">
        <v>311.0</v>
      </c>
      <c r="G5" s="13">
        <f t="shared" si="2"/>
        <v>6645</v>
      </c>
      <c r="H5" s="21">
        <v>0.0</v>
      </c>
      <c r="I5" s="13">
        <f t="shared" si="3"/>
        <v>35275</v>
      </c>
      <c r="J5" s="22" t="s">
        <v>20</v>
      </c>
      <c r="M5" s="15"/>
      <c r="N5" s="4" t="s">
        <v>89</v>
      </c>
      <c r="O5" s="4">
        <v>105.0</v>
      </c>
      <c r="Q5" s="15"/>
      <c r="R5" s="4" t="s">
        <v>90</v>
      </c>
      <c r="S5" s="4">
        <v>20.0</v>
      </c>
      <c r="U5" s="15"/>
      <c r="V5" s="4" t="s">
        <v>38</v>
      </c>
      <c r="W5" s="4">
        <v>350.0</v>
      </c>
    </row>
    <row r="6">
      <c r="A6" s="12" t="s">
        <v>47</v>
      </c>
      <c r="B6" s="21">
        <v>31884.0</v>
      </c>
      <c r="C6" s="21">
        <v>5899.0</v>
      </c>
      <c r="D6" s="21">
        <v>18019.0</v>
      </c>
      <c r="E6" s="13">
        <f t="shared" si="1"/>
        <v>7966</v>
      </c>
      <c r="F6" s="21">
        <v>235.0</v>
      </c>
      <c r="G6" s="13">
        <f t="shared" si="2"/>
        <v>7731</v>
      </c>
      <c r="H6" s="21">
        <v>6.67</v>
      </c>
      <c r="I6" s="13">
        <f t="shared" si="3"/>
        <v>31884</v>
      </c>
      <c r="J6" s="22" t="s">
        <v>20</v>
      </c>
      <c r="M6" s="4" t="s">
        <v>33</v>
      </c>
      <c r="N6" s="4" t="s">
        <v>22</v>
      </c>
      <c r="O6" s="4">
        <v>453.0</v>
      </c>
      <c r="Q6" s="15"/>
      <c r="R6" s="4" t="s">
        <v>94</v>
      </c>
      <c r="S6" s="4">
        <v>120.0</v>
      </c>
      <c r="U6" s="15"/>
      <c r="V6" s="4" t="s">
        <v>96</v>
      </c>
      <c r="W6" s="4">
        <v>70.0</v>
      </c>
    </row>
    <row r="7">
      <c r="A7" s="12" t="s">
        <v>52</v>
      </c>
      <c r="B7" s="21">
        <v>38367.0</v>
      </c>
      <c r="C7" s="21">
        <v>9570.0</v>
      </c>
      <c r="D7" s="21">
        <v>19053.0</v>
      </c>
      <c r="E7" s="13">
        <f t="shared" si="1"/>
        <v>9744</v>
      </c>
      <c r="F7" s="21">
        <v>742.0</v>
      </c>
      <c r="G7" s="13">
        <f t="shared" si="2"/>
        <v>9002</v>
      </c>
      <c r="H7" s="21">
        <v>11.18</v>
      </c>
      <c r="I7" s="13">
        <f t="shared" si="3"/>
        <v>38367</v>
      </c>
      <c r="J7" s="22" t="s">
        <v>20</v>
      </c>
      <c r="M7" s="4" t="s">
        <v>40</v>
      </c>
      <c r="N7" s="4" t="s">
        <v>22</v>
      </c>
      <c r="O7" s="4">
        <v>311.0</v>
      </c>
      <c r="Q7" s="15"/>
      <c r="R7" s="4" t="s">
        <v>99</v>
      </c>
      <c r="S7" s="4">
        <v>30.0</v>
      </c>
      <c r="U7" s="15"/>
      <c r="V7" s="4" t="s">
        <v>100</v>
      </c>
      <c r="W7" s="4">
        <v>3200.0</v>
      </c>
    </row>
    <row r="8">
      <c r="A8" s="12" t="s">
        <v>56</v>
      </c>
      <c r="B8" s="21">
        <v>52013.0</v>
      </c>
      <c r="C8" s="21">
        <v>16494.0</v>
      </c>
      <c r="D8" s="21">
        <v>28058.0</v>
      </c>
      <c r="E8" s="13">
        <f t="shared" si="1"/>
        <v>7461</v>
      </c>
      <c r="F8" s="21">
        <v>1112.0</v>
      </c>
      <c r="G8" s="13">
        <f t="shared" si="2"/>
        <v>6349</v>
      </c>
      <c r="H8" s="21">
        <v>33.82</v>
      </c>
      <c r="I8" s="13">
        <f t="shared" si="3"/>
        <v>52013</v>
      </c>
      <c r="J8" s="22" t="s">
        <v>20</v>
      </c>
      <c r="M8" s="4" t="s">
        <v>47</v>
      </c>
      <c r="N8" s="4" t="s">
        <v>22</v>
      </c>
      <c r="O8" s="4">
        <v>235.0</v>
      </c>
      <c r="Q8" s="4" t="s">
        <v>31</v>
      </c>
      <c r="R8" s="4" t="s">
        <v>22</v>
      </c>
      <c r="S8" s="4">
        <v>690.0</v>
      </c>
      <c r="U8" s="4" t="s">
        <v>101</v>
      </c>
      <c r="V8" s="4" t="s">
        <v>22</v>
      </c>
      <c r="W8" s="4">
        <v>717.0</v>
      </c>
    </row>
    <row r="9">
      <c r="A9" s="12" t="s">
        <v>60</v>
      </c>
      <c r="B9" s="21">
        <v>82380.0</v>
      </c>
      <c r="C9" s="21">
        <v>21616.0</v>
      </c>
      <c r="D9" s="21">
        <v>41643.0</v>
      </c>
      <c r="E9" s="13">
        <f t="shared" si="1"/>
        <v>19121</v>
      </c>
      <c r="F9" s="21">
        <v>0.0</v>
      </c>
      <c r="G9" s="13">
        <f t="shared" si="2"/>
        <v>19121</v>
      </c>
      <c r="H9" s="21">
        <v>25.38</v>
      </c>
      <c r="I9" s="13">
        <f t="shared" si="3"/>
        <v>82380</v>
      </c>
      <c r="J9" s="22" t="s">
        <v>103</v>
      </c>
      <c r="M9" s="4" t="s">
        <v>52</v>
      </c>
      <c r="N9" s="4" t="s">
        <v>104</v>
      </c>
      <c r="O9" s="4">
        <v>85.0</v>
      </c>
      <c r="Q9" s="15"/>
      <c r="R9" s="4" t="s">
        <v>38</v>
      </c>
      <c r="S9" s="4">
        <v>350.0</v>
      </c>
      <c r="U9" s="15"/>
      <c r="V9" s="4" t="s">
        <v>38</v>
      </c>
      <c r="W9" s="4">
        <v>350.0</v>
      </c>
    </row>
    <row r="10">
      <c r="A10" s="12" t="s">
        <v>64</v>
      </c>
      <c r="B10" s="21">
        <v>30975.0</v>
      </c>
      <c r="C10" s="21">
        <v>6087.0</v>
      </c>
      <c r="D10" s="21">
        <v>15752.0</v>
      </c>
      <c r="E10" s="13">
        <f t="shared" si="1"/>
        <v>9136</v>
      </c>
      <c r="F10" s="21">
        <v>2182.0</v>
      </c>
      <c r="G10" s="13">
        <f t="shared" si="2"/>
        <v>6954</v>
      </c>
      <c r="H10" s="21">
        <v>5.12</v>
      </c>
      <c r="I10" s="13">
        <f t="shared" si="3"/>
        <v>30975</v>
      </c>
      <c r="J10" s="22" t="s">
        <v>20</v>
      </c>
      <c r="M10" s="15"/>
      <c r="N10" s="4" t="s">
        <v>106</v>
      </c>
      <c r="O10" s="4">
        <v>15.0</v>
      </c>
      <c r="Q10" s="15"/>
      <c r="R10" s="4" t="s">
        <v>107</v>
      </c>
      <c r="S10" s="4">
        <v>90.0</v>
      </c>
      <c r="U10" s="15"/>
      <c r="V10" s="4" t="s">
        <v>22</v>
      </c>
      <c r="W10" s="4">
        <v>120.0</v>
      </c>
    </row>
    <row r="11">
      <c r="A11" s="12" t="s">
        <v>68</v>
      </c>
      <c r="B11" s="21">
        <v>31347.0</v>
      </c>
      <c r="C11" s="21">
        <v>8561.0</v>
      </c>
      <c r="D11" s="21">
        <v>14405.0</v>
      </c>
      <c r="E11" s="13">
        <f t="shared" si="1"/>
        <v>8381</v>
      </c>
      <c r="F11" s="21">
        <v>1598.0</v>
      </c>
      <c r="G11" s="13">
        <f t="shared" si="2"/>
        <v>6783</v>
      </c>
      <c r="H11" s="21">
        <v>42.6</v>
      </c>
      <c r="I11" s="13">
        <f t="shared" si="3"/>
        <v>31347</v>
      </c>
      <c r="J11" s="22" t="s">
        <v>20</v>
      </c>
      <c r="M11" s="15"/>
      <c r="N11" s="4" t="s">
        <v>22</v>
      </c>
      <c r="O11" s="4">
        <v>271.0</v>
      </c>
      <c r="Q11" s="4" t="s">
        <v>46</v>
      </c>
      <c r="R11" s="4" t="s">
        <v>22</v>
      </c>
      <c r="S11" s="4">
        <v>453.0</v>
      </c>
      <c r="U11" s="15"/>
      <c r="V11" s="4" t="s">
        <v>35</v>
      </c>
      <c r="W11" s="4">
        <v>10.0</v>
      </c>
    </row>
    <row r="12">
      <c r="A12" s="12" t="s">
        <v>23</v>
      </c>
      <c r="B12" s="21">
        <v>32749.0</v>
      </c>
      <c r="C12" s="21">
        <v>6302.0</v>
      </c>
      <c r="D12" s="21">
        <v>16171.0</v>
      </c>
      <c r="E12" s="13">
        <f t="shared" si="1"/>
        <v>10276</v>
      </c>
      <c r="F12" s="21">
        <v>656.0</v>
      </c>
      <c r="G12" s="13">
        <f t="shared" si="2"/>
        <v>9620</v>
      </c>
      <c r="H12" s="21">
        <v>39.83</v>
      </c>
      <c r="I12" s="13">
        <f t="shared" si="3"/>
        <v>32749</v>
      </c>
      <c r="J12" s="22" t="s">
        <v>20</v>
      </c>
      <c r="M12" s="15"/>
      <c r="N12" s="4" t="s">
        <v>35</v>
      </c>
      <c r="O12" s="4">
        <v>10.0</v>
      </c>
      <c r="Q12" s="4" t="s">
        <v>51</v>
      </c>
      <c r="R12" s="4" t="s">
        <v>109</v>
      </c>
      <c r="S12" s="4">
        <v>50.0</v>
      </c>
      <c r="U12" s="4" t="s">
        <v>110</v>
      </c>
      <c r="V12" s="4" t="s">
        <v>22</v>
      </c>
      <c r="W12" s="4">
        <v>1722.0</v>
      </c>
    </row>
    <row r="13">
      <c r="A13" s="12" t="s">
        <v>59</v>
      </c>
      <c r="B13" s="21">
        <v>34380.0</v>
      </c>
      <c r="C13" s="21">
        <v>5068.0</v>
      </c>
      <c r="D13" s="21">
        <v>18837.0</v>
      </c>
      <c r="E13" s="13">
        <f t="shared" si="1"/>
        <v>10475</v>
      </c>
      <c r="F13" s="21">
        <v>737.0</v>
      </c>
      <c r="G13" s="13">
        <f t="shared" si="2"/>
        <v>9738</v>
      </c>
      <c r="H13" s="21">
        <v>4.74</v>
      </c>
      <c r="I13" s="13">
        <f t="shared" si="3"/>
        <v>34380</v>
      </c>
      <c r="J13" s="22" t="s">
        <v>20</v>
      </c>
      <c r="M13" s="15"/>
      <c r="N13" s="4" t="s">
        <v>22</v>
      </c>
      <c r="O13" s="4">
        <v>361.0</v>
      </c>
      <c r="Q13" s="15"/>
      <c r="R13" s="4" t="s">
        <v>128</v>
      </c>
      <c r="S13" s="4">
        <v>200.0</v>
      </c>
      <c r="U13" s="15"/>
      <c r="V13" s="15"/>
      <c r="W13" s="15"/>
    </row>
    <row r="14">
      <c r="A14" s="12" t="s">
        <v>70</v>
      </c>
      <c r="B14" s="21">
        <v>35197.0</v>
      </c>
      <c r="C14" s="21">
        <v>9163.0</v>
      </c>
      <c r="D14" s="21">
        <v>17135.0</v>
      </c>
      <c r="E14" s="13">
        <f t="shared" si="1"/>
        <v>8899</v>
      </c>
      <c r="F14" s="21">
        <v>810.0</v>
      </c>
      <c r="G14" s="13">
        <f t="shared" si="2"/>
        <v>8089</v>
      </c>
      <c r="H14" s="21">
        <v>0.0</v>
      </c>
      <c r="I14" s="13">
        <f t="shared" si="3"/>
        <v>35197</v>
      </c>
      <c r="J14" s="22" t="s">
        <v>129</v>
      </c>
      <c r="M14" s="4" t="s">
        <v>56</v>
      </c>
      <c r="N14" s="4" t="s">
        <v>22</v>
      </c>
      <c r="O14" s="4">
        <v>572.0</v>
      </c>
      <c r="Q14" s="15"/>
      <c r="R14" s="4" t="s">
        <v>22</v>
      </c>
      <c r="S14" s="4">
        <v>446.0</v>
      </c>
    </row>
    <row r="15">
      <c r="A15" s="12" t="s">
        <v>75</v>
      </c>
      <c r="B15" s="21">
        <v>52964.0</v>
      </c>
      <c r="C15" s="21">
        <v>11992.0</v>
      </c>
      <c r="D15" s="21">
        <v>29208.0</v>
      </c>
      <c r="E15" s="13">
        <f t="shared" si="1"/>
        <v>11764</v>
      </c>
      <c r="F15" s="21">
        <v>706.0</v>
      </c>
      <c r="G15" s="13">
        <f t="shared" si="2"/>
        <v>11058</v>
      </c>
      <c r="H15" s="21">
        <v>0.0</v>
      </c>
      <c r="I15" s="13">
        <f t="shared" si="3"/>
        <v>52964</v>
      </c>
      <c r="J15" s="22" t="s">
        <v>20</v>
      </c>
      <c r="M15" s="15"/>
      <c r="N15" s="4" t="s">
        <v>132</v>
      </c>
      <c r="O15" s="4">
        <v>540.0</v>
      </c>
      <c r="Q15" s="4" t="s">
        <v>62</v>
      </c>
      <c r="R15" s="4" t="s">
        <v>22</v>
      </c>
      <c r="S15" s="4">
        <v>1294.0</v>
      </c>
    </row>
    <row r="16">
      <c r="A16" s="12" t="s">
        <v>27</v>
      </c>
      <c r="B16" s="21">
        <v>63435.0</v>
      </c>
      <c r="C16" s="21">
        <v>21935.0</v>
      </c>
      <c r="D16" s="21">
        <v>31010.0</v>
      </c>
      <c r="E16" s="13">
        <f t="shared" si="1"/>
        <v>10490</v>
      </c>
      <c r="F16" s="21">
        <v>4504.0</v>
      </c>
      <c r="G16" s="13">
        <f t="shared" si="2"/>
        <v>5986</v>
      </c>
      <c r="H16" s="21">
        <v>52.23</v>
      </c>
      <c r="I16" s="13">
        <f t="shared" si="3"/>
        <v>63435</v>
      </c>
      <c r="J16" s="22" t="s">
        <v>135</v>
      </c>
      <c r="M16" s="4" t="s">
        <v>60</v>
      </c>
      <c r="N16" s="4" t="s">
        <v>22</v>
      </c>
      <c r="O16" s="4">
        <v>612.0</v>
      </c>
      <c r="Q16" s="4" t="s">
        <v>67</v>
      </c>
      <c r="R16" s="4" t="s">
        <v>22</v>
      </c>
      <c r="S16" s="4">
        <v>45.0</v>
      </c>
    </row>
    <row r="17">
      <c r="A17" s="12" t="s">
        <v>31</v>
      </c>
      <c r="B17" s="21">
        <v>33261.0</v>
      </c>
      <c r="C17" s="21">
        <v>5665.0</v>
      </c>
      <c r="D17" s="21">
        <v>15234.0</v>
      </c>
      <c r="E17" s="13">
        <f t="shared" si="1"/>
        <v>12362</v>
      </c>
      <c r="F17" s="21">
        <v>1130.0</v>
      </c>
      <c r="G17" s="13">
        <f t="shared" si="2"/>
        <v>11232</v>
      </c>
      <c r="H17" s="21">
        <v>68.57</v>
      </c>
      <c r="I17" s="13">
        <f t="shared" si="3"/>
        <v>33261</v>
      </c>
      <c r="J17" s="22" t="s">
        <v>20</v>
      </c>
      <c r="M17" s="15"/>
      <c r="N17" s="4" t="s">
        <v>137</v>
      </c>
      <c r="O17" s="4">
        <v>100.0</v>
      </c>
      <c r="Q17" s="15"/>
      <c r="R17" s="4" t="s">
        <v>22</v>
      </c>
      <c r="S17" s="4">
        <v>74.0</v>
      </c>
    </row>
    <row r="18">
      <c r="A18" s="12" t="s">
        <v>46</v>
      </c>
      <c r="B18" s="21">
        <v>26440.0</v>
      </c>
      <c r="C18" s="21">
        <v>5143.0</v>
      </c>
      <c r="D18" s="21">
        <v>17332.0</v>
      </c>
      <c r="E18" s="13">
        <f t="shared" si="1"/>
        <v>3965</v>
      </c>
      <c r="F18" s="21">
        <v>453.0</v>
      </c>
      <c r="G18" s="13">
        <f t="shared" si="2"/>
        <v>3512</v>
      </c>
      <c r="H18" s="21">
        <v>17.9</v>
      </c>
      <c r="I18" s="13">
        <f t="shared" si="3"/>
        <v>26440</v>
      </c>
      <c r="J18" s="22" t="s">
        <v>20</v>
      </c>
      <c r="M18" s="4" t="s">
        <v>64</v>
      </c>
      <c r="N18" s="4" t="s">
        <v>22</v>
      </c>
      <c r="O18" s="4">
        <v>670.0</v>
      </c>
      <c r="Q18" s="15"/>
      <c r="R18" s="4" t="s">
        <v>22</v>
      </c>
      <c r="S18" s="4">
        <v>722.0</v>
      </c>
    </row>
    <row r="19">
      <c r="A19" s="12" t="s">
        <v>51</v>
      </c>
      <c r="B19" s="21">
        <v>27409.0</v>
      </c>
      <c r="C19" s="21">
        <v>8091.0</v>
      </c>
      <c r="D19" s="21">
        <v>12485.0</v>
      </c>
      <c r="E19" s="13">
        <f t="shared" si="1"/>
        <v>6833</v>
      </c>
      <c r="F19" s="21">
        <v>696.0</v>
      </c>
      <c r="G19" s="13">
        <f t="shared" si="2"/>
        <v>6137</v>
      </c>
      <c r="H19" s="21">
        <v>58.0</v>
      </c>
      <c r="I19" s="13">
        <f t="shared" si="3"/>
        <v>27409</v>
      </c>
      <c r="J19" s="22" t="s">
        <v>20</v>
      </c>
      <c r="M19" s="15"/>
      <c r="N19" s="4" t="s">
        <v>24</v>
      </c>
      <c r="O19" s="4">
        <v>240.0</v>
      </c>
      <c r="Q19" s="15"/>
      <c r="R19" s="4" t="s">
        <v>35</v>
      </c>
      <c r="S19" s="4">
        <v>10.0</v>
      </c>
    </row>
    <row r="20">
      <c r="A20" s="12" t="s">
        <v>57</v>
      </c>
      <c r="B20" s="21">
        <v>52698.0</v>
      </c>
      <c r="C20" s="21">
        <v>7430.0</v>
      </c>
      <c r="D20" s="21">
        <v>33449.0</v>
      </c>
      <c r="E20" s="13">
        <f t="shared" si="1"/>
        <v>11819</v>
      </c>
      <c r="F20" s="21">
        <v>0.0</v>
      </c>
      <c r="G20" s="13">
        <f t="shared" si="2"/>
        <v>11819</v>
      </c>
      <c r="H20" s="21">
        <v>70.05</v>
      </c>
      <c r="I20" s="13">
        <f t="shared" si="3"/>
        <v>52698</v>
      </c>
      <c r="J20" s="22" t="s">
        <v>20</v>
      </c>
      <c r="M20" s="15"/>
      <c r="N20" s="4" t="s">
        <v>35</v>
      </c>
      <c r="O20" s="4">
        <v>10.0</v>
      </c>
      <c r="Q20" s="15"/>
      <c r="R20" s="4" t="s">
        <v>127</v>
      </c>
      <c r="S20" s="4">
        <v>400.0</v>
      </c>
    </row>
    <row r="21">
      <c r="A21" s="12" t="s">
        <v>62</v>
      </c>
      <c r="B21" s="21">
        <v>68947.0</v>
      </c>
      <c r="C21" s="21">
        <v>13291.0</v>
      </c>
      <c r="D21" s="21">
        <v>33710.0</v>
      </c>
      <c r="E21" s="13">
        <f t="shared" si="1"/>
        <v>21946</v>
      </c>
      <c r="F21" s="21">
        <v>1294.0</v>
      </c>
      <c r="G21" s="13">
        <f t="shared" si="2"/>
        <v>20652</v>
      </c>
      <c r="H21" s="21">
        <v>46.6</v>
      </c>
      <c r="I21" s="13">
        <f t="shared" si="3"/>
        <v>68947</v>
      </c>
      <c r="J21" s="22" t="s">
        <v>20</v>
      </c>
      <c r="M21" s="15"/>
      <c r="N21" s="4" t="s">
        <v>139</v>
      </c>
      <c r="O21" s="4">
        <v>550.0</v>
      </c>
      <c r="Q21" s="15"/>
      <c r="R21" s="4" t="s">
        <v>140</v>
      </c>
      <c r="S21" s="4">
        <v>1090.0</v>
      </c>
    </row>
    <row r="22">
      <c r="A22" s="12" t="s">
        <v>67</v>
      </c>
      <c r="B22" s="21">
        <v>106835.0</v>
      </c>
      <c r="C22" s="21">
        <v>22594.0</v>
      </c>
      <c r="D22" s="32">
        <v>59699.0</v>
      </c>
      <c r="E22" s="13">
        <f t="shared" si="1"/>
        <v>24542</v>
      </c>
      <c r="F22" s="21">
        <v>2341.0</v>
      </c>
      <c r="G22" s="13">
        <f t="shared" si="2"/>
        <v>22201</v>
      </c>
      <c r="H22" s="21">
        <v>84.56</v>
      </c>
      <c r="I22" s="13">
        <f t="shared" si="3"/>
        <v>106835</v>
      </c>
      <c r="J22" s="22" t="s">
        <v>20</v>
      </c>
      <c r="M22" s="4" t="s">
        <v>68</v>
      </c>
      <c r="N22" s="4" t="s">
        <v>78</v>
      </c>
      <c r="O22" s="4">
        <v>1000.0</v>
      </c>
      <c r="Q22" s="4" t="s">
        <v>74</v>
      </c>
      <c r="R22" s="4" t="s">
        <v>128</v>
      </c>
      <c r="S22" s="4">
        <v>50.0</v>
      </c>
    </row>
    <row r="23">
      <c r="A23" s="12" t="s">
        <v>74</v>
      </c>
      <c r="B23" s="21">
        <v>95873.0</v>
      </c>
      <c r="C23" s="21">
        <v>19320.0</v>
      </c>
      <c r="D23" s="21">
        <v>50675.0</v>
      </c>
      <c r="E23" s="13">
        <f t="shared" si="1"/>
        <v>25878</v>
      </c>
      <c r="F23" s="21">
        <v>1668.0</v>
      </c>
      <c r="G23" s="13">
        <f t="shared" si="2"/>
        <v>24210</v>
      </c>
      <c r="H23" s="21">
        <v>48.19</v>
      </c>
      <c r="I23" s="13">
        <f t="shared" si="3"/>
        <v>95873</v>
      </c>
      <c r="J23" s="22" t="s">
        <v>146</v>
      </c>
      <c r="M23" s="15"/>
      <c r="N23" s="4" t="s">
        <v>22</v>
      </c>
      <c r="O23" s="4">
        <v>598.0</v>
      </c>
      <c r="Q23" s="15"/>
      <c r="R23" s="4" t="s">
        <v>22</v>
      </c>
      <c r="S23" s="4">
        <v>479.0</v>
      </c>
    </row>
    <row r="24">
      <c r="A24" s="12" t="s">
        <v>77</v>
      </c>
      <c r="B24" s="21">
        <v>46929.0</v>
      </c>
      <c r="C24" s="21">
        <v>11642.0</v>
      </c>
      <c r="D24" s="21">
        <v>22822.0</v>
      </c>
      <c r="E24" s="13">
        <f t="shared" si="1"/>
        <v>12465</v>
      </c>
      <c r="F24" s="21">
        <v>592.0</v>
      </c>
      <c r="G24" s="13">
        <f t="shared" si="2"/>
        <v>11873</v>
      </c>
      <c r="H24" s="21">
        <v>0.0</v>
      </c>
      <c r="I24" s="13">
        <f t="shared" si="3"/>
        <v>46929</v>
      </c>
      <c r="J24" s="22" t="s">
        <v>20</v>
      </c>
      <c r="M24" s="4" t="s">
        <v>23</v>
      </c>
      <c r="N24" s="4" t="s">
        <v>22</v>
      </c>
      <c r="O24" s="4">
        <v>61.0</v>
      </c>
      <c r="Q24" s="15"/>
      <c r="R24" s="4" t="s">
        <v>22</v>
      </c>
      <c r="S24" s="4">
        <v>596.0</v>
      </c>
    </row>
    <row r="25">
      <c r="A25" s="12" t="s">
        <v>88</v>
      </c>
      <c r="B25" s="21">
        <v>40355.0</v>
      </c>
      <c r="C25" s="21">
        <v>11368.0</v>
      </c>
      <c r="D25" s="21">
        <v>16126.0</v>
      </c>
      <c r="E25" s="13">
        <f t="shared" si="1"/>
        <v>12861</v>
      </c>
      <c r="F25" s="21">
        <v>0.0</v>
      </c>
      <c r="G25" s="13">
        <f t="shared" si="2"/>
        <v>12861</v>
      </c>
      <c r="H25" s="21">
        <v>4.99</v>
      </c>
      <c r="I25" s="13">
        <f t="shared" si="3"/>
        <v>40355</v>
      </c>
      <c r="J25" s="22" t="s">
        <v>20</v>
      </c>
      <c r="M25" s="15"/>
      <c r="N25" s="4" t="s">
        <v>38</v>
      </c>
      <c r="O25" s="4">
        <v>350.0</v>
      </c>
      <c r="Q25" s="15"/>
      <c r="R25" s="4" t="s">
        <v>22</v>
      </c>
      <c r="S25" s="4">
        <v>437.0</v>
      </c>
    </row>
    <row r="26">
      <c r="A26" s="12" t="s">
        <v>98</v>
      </c>
      <c r="B26" s="21">
        <v>43527.0</v>
      </c>
      <c r="C26" s="21">
        <v>7612.0</v>
      </c>
      <c r="D26" s="21">
        <v>21648.0</v>
      </c>
      <c r="E26" s="13">
        <f t="shared" si="1"/>
        <v>14267</v>
      </c>
      <c r="F26" s="21">
        <v>2339.0</v>
      </c>
      <c r="G26" s="13">
        <f t="shared" si="2"/>
        <v>11928</v>
      </c>
      <c r="H26" s="21">
        <v>17.96</v>
      </c>
      <c r="I26" s="13">
        <f t="shared" si="3"/>
        <v>43527</v>
      </c>
      <c r="J26" s="22" t="s">
        <v>20</v>
      </c>
      <c r="M26" s="15"/>
      <c r="N26" s="4" t="s">
        <v>148</v>
      </c>
      <c r="O26" s="4">
        <v>25.0</v>
      </c>
      <c r="Q26" s="15"/>
      <c r="R26" s="4" t="s">
        <v>22</v>
      </c>
      <c r="S26" s="4">
        <v>106.0</v>
      </c>
    </row>
    <row r="27">
      <c r="A27" s="12" t="s">
        <v>25</v>
      </c>
      <c r="B27" s="21">
        <v>49449.0</v>
      </c>
      <c r="C27" s="21">
        <v>15225.0</v>
      </c>
      <c r="D27" s="21">
        <v>22575.0</v>
      </c>
      <c r="E27" s="13">
        <f t="shared" si="1"/>
        <v>11649</v>
      </c>
      <c r="F27" s="21">
        <v>703.0</v>
      </c>
      <c r="G27" s="13">
        <f t="shared" si="2"/>
        <v>10946</v>
      </c>
      <c r="H27" s="21">
        <v>26.84</v>
      </c>
      <c r="I27" s="13">
        <f t="shared" si="3"/>
        <v>49449</v>
      </c>
      <c r="J27" s="22" t="s">
        <v>20</v>
      </c>
      <c r="M27" s="15"/>
      <c r="N27" s="4" t="s">
        <v>128</v>
      </c>
      <c r="O27" s="4">
        <v>220.0</v>
      </c>
      <c r="Q27" s="4" t="s">
        <v>77</v>
      </c>
      <c r="R27" s="4" t="s">
        <v>22</v>
      </c>
      <c r="S27" s="23">
        <v>592.0</v>
      </c>
    </row>
    <row r="28">
      <c r="A28" s="12" t="s">
        <v>49</v>
      </c>
      <c r="B28" s="21">
        <v>51836.0</v>
      </c>
      <c r="C28" s="21">
        <v>7554.0</v>
      </c>
      <c r="D28" s="21">
        <v>31168.0</v>
      </c>
      <c r="E28" s="13">
        <f t="shared" si="1"/>
        <v>13114</v>
      </c>
      <c r="F28" s="21">
        <v>878.0</v>
      </c>
      <c r="G28" s="13">
        <f t="shared" si="2"/>
        <v>12236</v>
      </c>
      <c r="H28" s="21">
        <v>5.49</v>
      </c>
      <c r="I28" s="13">
        <f t="shared" si="3"/>
        <v>51836</v>
      </c>
      <c r="J28" s="22" t="s">
        <v>20</v>
      </c>
      <c r="M28" s="4" t="s">
        <v>59</v>
      </c>
      <c r="N28" s="4" t="s">
        <v>22</v>
      </c>
      <c r="O28" s="4">
        <v>737.0</v>
      </c>
      <c r="Q28" s="4" t="s">
        <v>88</v>
      </c>
      <c r="R28" s="4" t="s">
        <v>150</v>
      </c>
      <c r="S28" s="4">
        <v>0.0</v>
      </c>
    </row>
    <row r="29">
      <c r="A29" s="12" t="s">
        <v>65</v>
      </c>
      <c r="B29" s="21">
        <v>74537.0</v>
      </c>
      <c r="C29" s="21">
        <v>19375.0</v>
      </c>
      <c r="D29" s="21">
        <v>39145.0</v>
      </c>
      <c r="E29" s="13">
        <f t="shared" si="1"/>
        <v>16017</v>
      </c>
      <c r="F29" s="21">
        <v>4457.0</v>
      </c>
      <c r="G29" s="13">
        <f t="shared" si="2"/>
        <v>11560</v>
      </c>
      <c r="H29" s="21">
        <v>50.84</v>
      </c>
      <c r="I29" s="13">
        <f t="shared" si="3"/>
        <v>74537</v>
      </c>
      <c r="J29" s="22" t="s">
        <v>20</v>
      </c>
      <c r="M29" s="4" t="s">
        <v>70</v>
      </c>
      <c r="N29" s="4" t="s">
        <v>38</v>
      </c>
      <c r="O29" s="4">
        <v>350.0</v>
      </c>
      <c r="Q29" s="4" t="s">
        <v>98</v>
      </c>
      <c r="R29" s="4" t="s">
        <v>22</v>
      </c>
      <c r="S29" s="4">
        <v>979.0</v>
      </c>
    </row>
    <row r="30">
      <c r="A30" s="22" t="s">
        <v>101</v>
      </c>
      <c r="B30" s="21">
        <v>86242.0</v>
      </c>
      <c r="C30" s="21">
        <v>20786.0</v>
      </c>
      <c r="D30" s="21">
        <v>46038.0</v>
      </c>
      <c r="E30" s="13">
        <f t="shared" si="1"/>
        <v>19418</v>
      </c>
      <c r="F30" s="21">
        <v>1197.0</v>
      </c>
      <c r="G30" s="13">
        <f t="shared" si="2"/>
        <v>18221</v>
      </c>
      <c r="H30" s="21">
        <v>42.24</v>
      </c>
      <c r="I30" s="13">
        <f t="shared" si="3"/>
        <v>86242</v>
      </c>
      <c r="J30" s="22" t="s">
        <v>20</v>
      </c>
      <c r="M30" s="15"/>
      <c r="N30" s="4" t="s">
        <v>138</v>
      </c>
      <c r="O30" s="4">
        <v>44.0</v>
      </c>
      <c r="Q30" s="15"/>
      <c r="R30" s="4" t="s">
        <v>152</v>
      </c>
      <c r="S30" s="4">
        <v>1350.0</v>
      </c>
    </row>
    <row r="31">
      <c r="A31" s="22" t="s">
        <v>110</v>
      </c>
      <c r="B31" s="33">
        <v>58628.0</v>
      </c>
      <c r="C31" s="21">
        <v>12760.0</v>
      </c>
      <c r="D31" s="21">
        <v>29870.0</v>
      </c>
      <c r="E31" s="13">
        <f t="shared" si="1"/>
        <v>15998</v>
      </c>
      <c r="F31" s="21">
        <v>1722.0</v>
      </c>
      <c r="G31" s="13">
        <f t="shared" si="2"/>
        <v>14276</v>
      </c>
      <c r="H31" s="21">
        <v>48.61</v>
      </c>
      <c r="I31" s="13">
        <f t="shared" si="3"/>
        <v>58628</v>
      </c>
      <c r="J31" s="22" t="s">
        <v>153</v>
      </c>
      <c r="M31" s="15"/>
      <c r="N31" s="4" t="s">
        <v>22</v>
      </c>
      <c r="O31" s="4">
        <v>416.0</v>
      </c>
      <c r="Q31" s="15"/>
      <c r="R31" s="4" t="s">
        <v>39</v>
      </c>
      <c r="S31" s="4">
        <v>10.0</v>
      </c>
    </row>
    <row r="32">
      <c r="A32" s="22" t="s">
        <v>121</v>
      </c>
      <c r="B32" s="21">
        <v>47892.0</v>
      </c>
      <c r="C32" s="21">
        <v>10184.0</v>
      </c>
      <c r="D32" s="21">
        <v>24137.0</v>
      </c>
      <c r="E32" s="13">
        <f t="shared" si="1"/>
        <v>13571</v>
      </c>
      <c r="F32" s="21">
        <v>220.0</v>
      </c>
      <c r="G32" s="13">
        <f t="shared" si="2"/>
        <v>13351</v>
      </c>
      <c r="H32" s="21">
        <v>32.96</v>
      </c>
      <c r="I32" s="13">
        <f t="shared" si="3"/>
        <v>47892</v>
      </c>
      <c r="J32" s="22" t="s">
        <v>20</v>
      </c>
      <c r="M32" s="4" t="s">
        <v>75</v>
      </c>
      <c r="N32" s="4" t="s">
        <v>78</v>
      </c>
      <c r="O32" s="4">
        <v>200.0</v>
      </c>
      <c r="Q32" s="4" t="s">
        <v>25</v>
      </c>
      <c r="R32" s="4" t="s">
        <v>22</v>
      </c>
      <c r="S32" s="4">
        <v>343.0</v>
      </c>
    </row>
    <row r="33">
      <c r="A33" s="28"/>
      <c r="B33" s="29">
        <f t="shared" ref="B33:C33" si="4">SUM(B2:B32)</f>
        <v>1575673</v>
      </c>
      <c r="C33" s="29">
        <f t="shared" si="4"/>
        <v>374708</v>
      </c>
      <c r="D33" s="29">
        <f t="shared" ref="D33:H33" si="5">SUM(D2:D29)</f>
        <v>703574</v>
      </c>
      <c r="E33" s="29">
        <f t="shared" si="5"/>
        <v>348359</v>
      </c>
      <c r="F33" s="29">
        <f t="shared" si="5"/>
        <v>33804</v>
      </c>
      <c r="G33" s="29">
        <f t="shared" si="5"/>
        <v>314555</v>
      </c>
      <c r="H33" s="29">
        <f t="shared" si="5"/>
        <v>721.56</v>
      </c>
      <c r="I33" s="29">
        <f>SUM(I2:I32)</f>
        <v>1575673</v>
      </c>
      <c r="J33" s="29"/>
      <c r="M33" s="15"/>
      <c r="N33" s="4" t="s">
        <v>22</v>
      </c>
      <c r="O33" s="4">
        <v>396.0</v>
      </c>
      <c r="Q33" s="15"/>
      <c r="R33" s="4" t="s">
        <v>35</v>
      </c>
      <c r="S33" s="4">
        <v>10.0</v>
      </c>
    </row>
    <row r="34">
      <c r="M34" s="15"/>
      <c r="N34" s="4" t="s">
        <v>156</v>
      </c>
      <c r="O34" s="4">
        <v>110.0</v>
      </c>
      <c r="Q34" s="15"/>
      <c r="R34" s="4" t="s">
        <v>38</v>
      </c>
      <c r="S34" s="4">
        <v>350.0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7.63"/>
    <col customWidth="1" min="4" max="4" width="7.75"/>
    <col customWidth="1" min="5" max="5" width="14.75"/>
    <col customWidth="1" min="6" max="6" width="17.63"/>
    <col customWidth="1" min="7" max="7" width="8.75"/>
    <col customWidth="1" min="8" max="8" width="7.63"/>
    <col customWidth="1" min="9" max="9" width="9.75"/>
    <col customWidth="1" min="10" max="10" width="14.5"/>
    <col customWidth="1" min="11" max="11" width="8.5"/>
    <col customWidth="1" min="12" max="12" width="8.63"/>
    <col customWidth="1" min="13" max="13" width="32.13"/>
    <col customWidth="1" min="14" max="14" width="12.63"/>
    <col customWidth="1" min="15" max="15" width="5.25"/>
    <col customWidth="1" min="16" max="16" width="15.75"/>
    <col customWidth="1" min="17" max="17" width="7.88"/>
    <col customWidth="1" min="18" max="18" width="12.63"/>
    <col customWidth="1" min="19" max="19" width="5.25"/>
    <col customWidth="1" min="20" max="20" width="11.63"/>
    <col customWidth="1" min="21" max="21" width="7.88"/>
    <col customWidth="1" min="22" max="22" width="12.63"/>
    <col customWidth="1" min="23" max="23" width="5.25"/>
    <col customWidth="1" min="24" max="24" width="32.38"/>
    <col customWidth="1" min="25" max="25" width="7.88"/>
    <col customWidth="1" min="26" max="29" width="12.63"/>
  </cols>
  <sheetData>
    <row r="1">
      <c r="A1" s="3" t="s">
        <v>1</v>
      </c>
      <c r="B1" s="3" t="s">
        <v>5</v>
      </c>
      <c r="C1" s="27" t="s">
        <v>114</v>
      </c>
      <c r="D1" s="27" t="s">
        <v>115</v>
      </c>
      <c r="E1" s="27" t="s">
        <v>6</v>
      </c>
      <c r="F1" s="27" t="s">
        <v>118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O1" s="8" t="s">
        <v>1</v>
      </c>
      <c r="P1" s="8" t="s">
        <v>14</v>
      </c>
      <c r="Q1" s="8" t="s">
        <v>15</v>
      </c>
      <c r="S1" s="8" t="s">
        <v>1</v>
      </c>
      <c r="T1" s="8" t="s">
        <v>14</v>
      </c>
      <c r="U1" s="8" t="s">
        <v>15</v>
      </c>
      <c r="W1" s="8" t="s">
        <v>1</v>
      </c>
      <c r="X1" s="8" t="s">
        <v>14</v>
      </c>
      <c r="Y1" s="8" t="s">
        <v>15</v>
      </c>
    </row>
    <row r="2">
      <c r="A2" s="12" t="s">
        <v>16</v>
      </c>
      <c r="B2" s="21">
        <v>53456.0</v>
      </c>
      <c r="C2" s="21">
        <v>4657.0</v>
      </c>
      <c r="D2" s="21">
        <v>5836.0</v>
      </c>
      <c r="E2" s="21">
        <f t="shared" ref="E2:E4" si="1">C2+D2</f>
        <v>10493</v>
      </c>
      <c r="F2" s="21">
        <f t="shared" ref="F2:F32" si="2">if((E2&gt;0),round((E2/B2)*100, 2) , 0)</f>
        <v>19.63</v>
      </c>
      <c r="G2" s="21">
        <v>30910.0</v>
      </c>
      <c r="H2" s="13">
        <f t="shared" ref="H2:H31" si="3">(B2-E2-G2)</f>
        <v>12053</v>
      </c>
      <c r="I2" s="21">
        <v>937.0</v>
      </c>
      <c r="J2" s="13">
        <f t="shared" ref="J2:J6" si="4">sum(H2-I2)</f>
        <v>11116</v>
      </c>
      <c r="K2" s="21">
        <v>19.49</v>
      </c>
      <c r="L2" s="13">
        <f t="shared" ref="L2:L31" si="5">sum(C2+D2+G2+H2)</f>
        <v>53456</v>
      </c>
      <c r="M2" s="22" t="s">
        <v>123</v>
      </c>
      <c r="O2" s="24" t="s">
        <v>16</v>
      </c>
      <c r="P2" s="24" t="s">
        <v>22</v>
      </c>
      <c r="Q2" s="23">
        <v>937.0</v>
      </c>
      <c r="S2" s="24" t="s">
        <v>31</v>
      </c>
      <c r="T2" s="4" t="s">
        <v>38</v>
      </c>
      <c r="U2" s="4">
        <v>700.0</v>
      </c>
      <c r="W2" s="24" t="s">
        <v>98</v>
      </c>
      <c r="X2" s="4" t="s">
        <v>124</v>
      </c>
      <c r="Y2" s="4">
        <v>50.0</v>
      </c>
    </row>
    <row r="3">
      <c r="A3" s="22" t="s">
        <v>28</v>
      </c>
      <c r="B3" s="21">
        <v>60170.0</v>
      </c>
      <c r="C3" s="21">
        <v>10405.0</v>
      </c>
      <c r="D3" s="21">
        <v>6105.0</v>
      </c>
      <c r="E3" s="21">
        <f t="shared" si="1"/>
        <v>16510</v>
      </c>
      <c r="F3" s="21">
        <f t="shared" si="2"/>
        <v>27.44</v>
      </c>
      <c r="G3" s="21">
        <v>32632.0</v>
      </c>
      <c r="H3" s="13">
        <f t="shared" si="3"/>
        <v>11028</v>
      </c>
      <c r="I3" s="21">
        <v>0.0</v>
      </c>
      <c r="J3" s="13">
        <f t="shared" si="4"/>
        <v>11028</v>
      </c>
      <c r="K3" s="21">
        <v>18.83</v>
      </c>
      <c r="L3" s="13">
        <f t="shared" si="5"/>
        <v>60170</v>
      </c>
      <c r="M3" s="22" t="s">
        <v>126</v>
      </c>
      <c r="O3" s="4" t="s">
        <v>28</v>
      </c>
      <c r="P3" s="15"/>
      <c r="Q3" s="4">
        <v>0.0</v>
      </c>
      <c r="S3" s="4"/>
      <c r="T3" s="4" t="s">
        <v>127</v>
      </c>
      <c r="U3" s="4">
        <v>200.0</v>
      </c>
      <c r="W3" s="4"/>
      <c r="X3" s="4" t="s">
        <v>22</v>
      </c>
      <c r="Y3" s="4">
        <v>1546.0</v>
      </c>
    </row>
    <row r="4">
      <c r="A4" s="22" t="s">
        <v>33</v>
      </c>
      <c r="B4" s="21">
        <v>49163.0</v>
      </c>
      <c r="C4" s="21">
        <v>4762.0</v>
      </c>
      <c r="D4" s="21">
        <v>7107.0</v>
      </c>
      <c r="E4" s="21">
        <f t="shared" si="1"/>
        <v>11869</v>
      </c>
      <c r="F4" s="21">
        <f t="shared" si="2"/>
        <v>24.14</v>
      </c>
      <c r="G4" s="21">
        <v>21434.0</v>
      </c>
      <c r="H4" s="13">
        <f t="shared" si="3"/>
        <v>15860</v>
      </c>
      <c r="I4" s="21">
        <v>1823.0</v>
      </c>
      <c r="J4" s="13">
        <f t="shared" si="4"/>
        <v>14037</v>
      </c>
      <c r="K4" s="21">
        <v>84.93</v>
      </c>
      <c r="L4" s="13">
        <f t="shared" si="5"/>
        <v>49163</v>
      </c>
      <c r="M4" s="22" t="s">
        <v>130</v>
      </c>
      <c r="O4" s="4" t="s">
        <v>33</v>
      </c>
      <c r="P4" s="4" t="s">
        <v>131</v>
      </c>
      <c r="Q4" s="4">
        <v>350.0</v>
      </c>
      <c r="S4" s="4"/>
      <c r="T4" s="4" t="s">
        <v>22</v>
      </c>
      <c r="U4" s="4">
        <v>511.0</v>
      </c>
      <c r="W4" s="4" t="s">
        <v>25</v>
      </c>
      <c r="X4" s="4" t="s">
        <v>22</v>
      </c>
      <c r="Y4" s="4">
        <v>1054.0</v>
      </c>
    </row>
    <row r="5">
      <c r="A5" s="12" t="s">
        <v>40</v>
      </c>
      <c r="B5" s="21">
        <v>68763.0</v>
      </c>
      <c r="C5" s="21">
        <v>3999.0</v>
      </c>
      <c r="D5" s="21">
        <v>6142.0</v>
      </c>
      <c r="E5" s="21">
        <v>10141.0</v>
      </c>
      <c r="F5" s="21">
        <f t="shared" si="2"/>
        <v>14.75</v>
      </c>
      <c r="G5" s="21">
        <v>46151.0</v>
      </c>
      <c r="H5" s="13">
        <f t="shared" si="3"/>
        <v>12471</v>
      </c>
      <c r="I5" s="21">
        <v>5913.0</v>
      </c>
      <c r="J5" s="13">
        <f t="shared" si="4"/>
        <v>6558</v>
      </c>
      <c r="K5" s="21">
        <v>67.5</v>
      </c>
      <c r="L5" s="13">
        <f t="shared" si="5"/>
        <v>68763</v>
      </c>
      <c r="M5" s="22" t="s">
        <v>133</v>
      </c>
      <c r="O5" s="15"/>
      <c r="P5" s="4" t="s">
        <v>134</v>
      </c>
      <c r="Q5" s="4">
        <v>870.0</v>
      </c>
      <c r="S5" s="4" t="s">
        <v>46</v>
      </c>
      <c r="T5" s="15"/>
      <c r="U5" s="4">
        <v>0.0</v>
      </c>
      <c r="W5" s="15"/>
      <c r="X5" s="4" t="s">
        <v>22</v>
      </c>
      <c r="Y5" s="4">
        <v>860.0</v>
      </c>
    </row>
    <row r="6">
      <c r="A6" s="12" t="s">
        <v>47</v>
      </c>
      <c r="B6" s="21">
        <v>74788.0</v>
      </c>
      <c r="C6" s="21">
        <v>5965.0</v>
      </c>
      <c r="D6" s="21">
        <v>7854.0</v>
      </c>
      <c r="E6" s="21">
        <f>C6+D6</f>
        <v>13819</v>
      </c>
      <c r="F6" s="21">
        <f t="shared" si="2"/>
        <v>18.48</v>
      </c>
      <c r="G6" s="21">
        <v>42177.0</v>
      </c>
      <c r="H6" s="13">
        <f t="shared" si="3"/>
        <v>18792</v>
      </c>
      <c r="I6" s="21">
        <v>1198.0</v>
      </c>
      <c r="J6" s="13">
        <f t="shared" si="4"/>
        <v>17594</v>
      </c>
      <c r="K6" s="21">
        <v>35.34</v>
      </c>
      <c r="L6" s="13">
        <f t="shared" si="5"/>
        <v>74788</v>
      </c>
      <c r="M6" s="22" t="s">
        <v>136</v>
      </c>
      <c r="O6" s="15"/>
      <c r="P6" s="4" t="s">
        <v>138</v>
      </c>
      <c r="Q6" s="4">
        <v>106.0</v>
      </c>
      <c r="S6" s="4" t="s">
        <v>51</v>
      </c>
      <c r="T6" s="4" t="s">
        <v>22</v>
      </c>
      <c r="U6" s="4">
        <v>1623.0</v>
      </c>
      <c r="W6" s="4" t="s">
        <v>49</v>
      </c>
      <c r="X6" s="4" t="s">
        <v>22</v>
      </c>
      <c r="Y6" s="4">
        <v>749.0</v>
      </c>
    </row>
    <row r="7">
      <c r="A7" s="12" t="s">
        <v>52</v>
      </c>
      <c r="B7" s="21">
        <v>46062.0</v>
      </c>
      <c r="C7" s="21">
        <v>4898.0</v>
      </c>
      <c r="D7" s="21">
        <v>4691.0</v>
      </c>
      <c r="E7" s="21">
        <v>9589.0</v>
      </c>
      <c r="F7" s="21">
        <f t="shared" si="2"/>
        <v>20.82</v>
      </c>
      <c r="G7" s="21">
        <v>25958.0</v>
      </c>
      <c r="H7" s="13">
        <f t="shared" si="3"/>
        <v>10515</v>
      </c>
      <c r="I7" s="21">
        <v>0.0</v>
      </c>
      <c r="J7" s="13">
        <f>(H7-I7)</f>
        <v>10515</v>
      </c>
      <c r="K7" s="21">
        <v>5.16</v>
      </c>
      <c r="L7" s="13">
        <f t="shared" si="5"/>
        <v>46062</v>
      </c>
      <c r="M7" s="22" t="s">
        <v>20</v>
      </c>
      <c r="O7" s="15"/>
      <c r="P7" s="4" t="s">
        <v>134</v>
      </c>
      <c r="Q7" s="4">
        <v>497.0</v>
      </c>
      <c r="S7" s="15"/>
      <c r="T7" s="4" t="s">
        <v>38</v>
      </c>
      <c r="U7" s="4">
        <v>350.0</v>
      </c>
      <c r="W7" s="15"/>
      <c r="X7" s="4" t="s">
        <v>22</v>
      </c>
      <c r="Y7" s="4">
        <v>742.0</v>
      </c>
    </row>
    <row r="8">
      <c r="A8" s="12" t="s">
        <v>56</v>
      </c>
      <c r="B8" s="21">
        <v>40857.0</v>
      </c>
      <c r="C8" s="21">
        <v>4934.0</v>
      </c>
      <c r="D8" s="21">
        <v>4643.0</v>
      </c>
      <c r="E8" s="21">
        <f t="shared" ref="E8:E31" si="6">C8+D8</f>
        <v>9577</v>
      </c>
      <c r="F8" s="21">
        <f t="shared" si="2"/>
        <v>23.44</v>
      </c>
      <c r="G8" s="21">
        <v>20128.0</v>
      </c>
      <c r="H8" s="13">
        <f t="shared" si="3"/>
        <v>11152</v>
      </c>
      <c r="I8" s="21">
        <v>552.0</v>
      </c>
      <c r="J8" s="13">
        <f t="shared" ref="J8:J31" si="7">sum(H8-I8)</f>
        <v>10600</v>
      </c>
      <c r="K8" s="21">
        <v>24.38</v>
      </c>
      <c r="L8" s="13">
        <f t="shared" si="5"/>
        <v>40857</v>
      </c>
      <c r="M8" s="22" t="s">
        <v>20</v>
      </c>
      <c r="O8" s="4" t="s">
        <v>40</v>
      </c>
      <c r="P8" s="4" t="s">
        <v>141</v>
      </c>
      <c r="Q8" s="4">
        <v>500.0</v>
      </c>
      <c r="S8" s="4" t="s">
        <v>57</v>
      </c>
      <c r="T8" s="4" t="s">
        <v>142</v>
      </c>
      <c r="U8" s="4">
        <v>6671.0</v>
      </c>
      <c r="W8" s="4" t="s">
        <v>65</v>
      </c>
      <c r="X8" s="4" t="s">
        <v>22</v>
      </c>
      <c r="Y8" s="4">
        <v>717.0</v>
      </c>
    </row>
    <row r="9">
      <c r="A9" s="12" t="s">
        <v>60</v>
      </c>
      <c r="B9" s="21">
        <v>51191.0</v>
      </c>
      <c r="C9" s="21">
        <v>5502.0</v>
      </c>
      <c r="D9" s="21">
        <v>3691.0</v>
      </c>
      <c r="E9" s="21">
        <f t="shared" si="6"/>
        <v>9193</v>
      </c>
      <c r="F9" s="21">
        <f t="shared" si="2"/>
        <v>17.96</v>
      </c>
      <c r="G9" s="21">
        <v>26091.0</v>
      </c>
      <c r="H9" s="13">
        <f t="shared" si="3"/>
        <v>15907</v>
      </c>
      <c r="I9" s="21">
        <v>8099.0</v>
      </c>
      <c r="J9" s="13">
        <f t="shared" si="7"/>
        <v>7808</v>
      </c>
      <c r="K9" s="21">
        <v>12.88</v>
      </c>
      <c r="L9" s="13">
        <f t="shared" si="5"/>
        <v>51191</v>
      </c>
      <c r="M9" s="22" t="s">
        <v>143</v>
      </c>
      <c r="O9" s="15"/>
      <c r="P9" s="4" t="s">
        <v>22</v>
      </c>
      <c r="Q9" s="4">
        <v>853.0</v>
      </c>
      <c r="S9" s="15"/>
      <c r="T9" s="4" t="s">
        <v>142</v>
      </c>
      <c r="U9" s="4">
        <v>6671.0</v>
      </c>
      <c r="W9" s="15"/>
      <c r="X9" s="4" t="s">
        <v>144</v>
      </c>
      <c r="Y9" s="4">
        <v>100.0</v>
      </c>
    </row>
    <row r="10">
      <c r="A10" s="12" t="s">
        <v>64</v>
      </c>
      <c r="B10" s="21">
        <v>57713.0</v>
      </c>
      <c r="C10" s="21">
        <v>6166.0</v>
      </c>
      <c r="D10" s="21">
        <v>5509.0</v>
      </c>
      <c r="E10" s="21">
        <f t="shared" si="6"/>
        <v>11675</v>
      </c>
      <c r="F10" s="21">
        <f t="shared" si="2"/>
        <v>20.23</v>
      </c>
      <c r="G10" s="21">
        <v>31653.0</v>
      </c>
      <c r="H10" s="13">
        <f t="shared" si="3"/>
        <v>14385</v>
      </c>
      <c r="I10" s="21">
        <v>5214.0</v>
      </c>
      <c r="J10" s="13">
        <f t="shared" si="7"/>
        <v>9171</v>
      </c>
      <c r="K10" s="21">
        <v>20.26</v>
      </c>
      <c r="L10" s="13">
        <f t="shared" si="5"/>
        <v>57713</v>
      </c>
      <c r="M10" s="22" t="s">
        <v>20</v>
      </c>
      <c r="O10" s="15"/>
      <c r="P10" s="4" t="s">
        <v>145</v>
      </c>
      <c r="Q10" s="4">
        <v>60.0</v>
      </c>
      <c r="S10" s="15"/>
      <c r="T10" s="4" t="s">
        <v>127</v>
      </c>
      <c r="U10" s="4">
        <v>100.0</v>
      </c>
      <c r="W10" s="15"/>
      <c r="X10" s="4" t="s">
        <v>97</v>
      </c>
      <c r="Y10" s="4">
        <v>1900.0</v>
      </c>
    </row>
    <row r="11">
      <c r="A11" s="12" t="s">
        <v>68</v>
      </c>
      <c r="B11" s="21">
        <v>59390.0</v>
      </c>
      <c r="C11" s="21">
        <v>7977.0</v>
      </c>
      <c r="D11" s="21">
        <v>6161.0</v>
      </c>
      <c r="E11" s="21">
        <f t="shared" si="6"/>
        <v>14138</v>
      </c>
      <c r="F11" s="21">
        <f t="shared" si="2"/>
        <v>23.81</v>
      </c>
      <c r="G11" s="21">
        <v>31448.0</v>
      </c>
      <c r="H11" s="13">
        <f t="shared" si="3"/>
        <v>13804</v>
      </c>
      <c r="I11" s="21">
        <v>1220.0</v>
      </c>
      <c r="J11" s="13">
        <f t="shared" si="7"/>
        <v>12584</v>
      </c>
      <c r="K11" s="21">
        <v>7.39</v>
      </c>
      <c r="L11" s="13">
        <f t="shared" si="5"/>
        <v>59390</v>
      </c>
      <c r="M11" s="22" t="s">
        <v>20</v>
      </c>
      <c r="O11" s="15"/>
      <c r="P11" s="4" t="s">
        <v>147</v>
      </c>
      <c r="Q11" s="4">
        <v>4500.0</v>
      </c>
      <c r="S11" s="15"/>
      <c r="T11" s="4" t="s">
        <v>22</v>
      </c>
      <c r="U11" s="4">
        <v>920.0</v>
      </c>
      <c r="W11" s="15"/>
      <c r="X11" s="4" t="s">
        <v>97</v>
      </c>
      <c r="Y11" s="4">
        <v>1900.0</v>
      </c>
    </row>
    <row r="12">
      <c r="A12" s="12" t="s">
        <v>23</v>
      </c>
      <c r="B12" s="21">
        <v>79528.0</v>
      </c>
      <c r="C12" s="21">
        <v>7324.0</v>
      </c>
      <c r="D12" s="21">
        <v>5944.0</v>
      </c>
      <c r="E12" s="21">
        <f t="shared" si="6"/>
        <v>13268</v>
      </c>
      <c r="F12" s="21">
        <f t="shared" si="2"/>
        <v>16.68</v>
      </c>
      <c r="G12" s="21">
        <v>43495.0</v>
      </c>
      <c r="H12" s="13">
        <f t="shared" si="3"/>
        <v>22765</v>
      </c>
      <c r="I12" s="21">
        <v>1214.0</v>
      </c>
      <c r="J12" s="13">
        <f t="shared" si="7"/>
        <v>21551</v>
      </c>
      <c r="K12" s="21">
        <v>111.47</v>
      </c>
      <c r="L12" s="13">
        <f t="shared" si="5"/>
        <v>79528</v>
      </c>
      <c r="M12" s="22" t="s">
        <v>20</v>
      </c>
      <c r="O12" s="4" t="s">
        <v>47</v>
      </c>
      <c r="P12" s="4" t="s">
        <v>128</v>
      </c>
      <c r="Q12" s="4">
        <v>200.0</v>
      </c>
      <c r="S12" s="4" t="s">
        <v>62</v>
      </c>
      <c r="T12" s="4" t="s">
        <v>22</v>
      </c>
      <c r="U12" s="4">
        <v>503.0</v>
      </c>
      <c r="W12" s="15"/>
      <c r="X12" s="4" t="s">
        <v>97</v>
      </c>
      <c r="Y12" s="4">
        <v>1050.0</v>
      </c>
    </row>
    <row r="13">
      <c r="A13" s="12" t="s">
        <v>59</v>
      </c>
      <c r="B13" s="21">
        <v>100062.0</v>
      </c>
      <c r="C13" s="21">
        <v>10099.0</v>
      </c>
      <c r="D13" s="21">
        <v>9885.0</v>
      </c>
      <c r="E13" s="21">
        <f t="shared" si="6"/>
        <v>19984</v>
      </c>
      <c r="F13" s="21">
        <f t="shared" si="2"/>
        <v>19.97</v>
      </c>
      <c r="G13" s="21">
        <v>53538.0</v>
      </c>
      <c r="H13" s="13">
        <f t="shared" si="3"/>
        <v>26540</v>
      </c>
      <c r="I13" s="21">
        <v>1142.0</v>
      </c>
      <c r="J13" s="13">
        <f t="shared" si="7"/>
        <v>25398</v>
      </c>
      <c r="K13" s="21">
        <v>198.68</v>
      </c>
      <c r="L13" s="13">
        <f t="shared" si="5"/>
        <v>100062</v>
      </c>
      <c r="M13" s="22" t="s">
        <v>149</v>
      </c>
      <c r="O13" s="15"/>
      <c r="P13" s="4" t="s">
        <v>22</v>
      </c>
      <c r="Q13" s="4">
        <v>998.0</v>
      </c>
      <c r="S13" s="15"/>
      <c r="T13" s="4" t="s">
        <v>22</v>
      </c>
      <c r="U13" s="4">
        <v>440.0</v>
      </c>
      <c r="W13" s="15"/>
      <c r="X13" s="4" t="s">
        <v>97</v>
      </c>
      <c r="Y13" s="4">
        <v>1900.0</v>
      </c>
    </row>
    <row r="14">
      <c r="A14" s="12" t="s">
        <v>70</v>
      </c>
      <c r="B14" s="21">
        <v>57275.0</v>
      </c>
      <c r="C14" s="21">
        <v>4094.0</v>
      </c>
      <c r="D14" s="21">
        <v>8574.0</v>
      </c>
      <c r="E14" s="21">
        <f t="shared" si="6"/>
        <v>12668</v>
      </c>
      <c r="F14" s="21">
        <f t="shared" si="2"/>
        <v>22.12</v>
      </c>
      <c r="G14" s="21">
        <v>29364.0</v>
      </c>
      <c r="H14" s="13">
        <f t="shared" si="3"/>
        <v>15243</v>
      </c>
      <c r="I14" s="21">
        <v>7450.0</v>
      </c>
      <c r="J14" s="13">
        <f t="shared" si="7"/>
        <v>7793</v>
      </c>
      <c r="K14" s="21">
        <v>75.03</v>
      </c>
      <c r="L14" s="13">
        <f t="shared" si="5"/>
        <v>57275</v>
      </c>
      <c r="M14" s="22" t="s">
        <v>151</v>
      </c>
      <c r="O14" s="4" t="s">
        <v>52</v>
      </c>
      <c r="P14" s="15"/>
      <c r="Q14" s="4">
        <v>0.0</v>
      </c>
      <c r="S14" s="15"/>
      <c r="T14" s="4" t="s">
        <v>35</v>
      </c>
      <c r="U14" s="4">
        <v>7.0</v>
      </c>
      <c r="W14" s="4" t="s">
        <v>101</v>
      </c>
      <c r="X14" s="4" t="s">
        <v>22</v>
      </c>
      <c r="Y14" s="4">
        <v>543.0</v>
      </c>
    </row>
    <row r="15">
      <c r="A15" s="12" t="s">
        <v>75</v>
      </c>
      <c r="B15" s="21">
        <v>72314.0</v>
      </c>
      <c r="C15" s="21">
        <v>6432.0</v>
      </c>
      <c r="D15" s="21">
        <v>5341.0</v>
      </c>
      <c r="E15" s="21">
        <f t="shared" si="6"/>
        <v>11773</v>
      </c>
      <c r="F15" s="21">
        <f t="shared" si="2"/>
        <v>16.28</v>
      </c>
      <c r="G15" s="21">
        <v>41086.0</v>
      </c>
      <c r="H15" s="13">
        <f t="shared" si="3"/>
        <v>19455</v>
      </c>
      <c r="I15" s="21">
        <v>876.0</v>
      </c>
      <c r="J15" s="13">
        <f t="shared" si="7"/>
        <v>18579</v>
      </c>
      <c r="K15" s="21">
        <v>45.22</v>
      </c>
      <c r="L15" s="13">
        <f t="shared" si="5"/>
        <v>72314</v>
      </c>
      <c r="M15" s="22" t="s">
        <v>20</v>
      </c>
      <c r="O15" s="4" t="s">
        <v>56</v>
      </c>
      <c r="P15" s="4" t="s">
        <v>22</v>
      </c>
      <c r="Q15" s="4">
        <v>522.0</v>
      </c>
      <c r="S15" s="4" t="s">
        <v>67</v>
      </c>
      <c r="T15" s="4" t="s">
        <v>22</v>
      </c>
      <c r="U15" s="4">
        <v>481.0</v>
      </c>
      <c r="W15" s="15"/>
      <c r="X15" s="4" t="s">
        <v>22</v>
      </c>
      <c r="Y15" s="4">
        <v>892.0</v>
      </c>
    </row>
    <row r="16">
      <c r="A16" s="12" t="s">
        <v>27</v>
      </c>
      <c r="B16" s="21">
        <v>66220.0</v>
      </c>
      <c r="C16" s="21">
        <v>5849.0</v>
      </c>
      <c r="D16" s="21">
        <v>7413.0</v>
      </c>
      <c r="E16" s="21">
        <f t="shared" si="6"/>
        <v>13262</v>
      </c>
      <c r="F16" s="21">
        <f t="shared" si="2"/>
        <v>20.03</v>
      </c>
      <c r="G16" s="21">
        <v>35018.0</v>
      </c>
      <c r="H16" s="13">
        <f t="shared" si="3"/>
        <v>17940</v>
      </c>
      <c r="I16" s="21">
        <v>779.0</v>
      </c>
      <c r="J16" s="13">
        <f t="shared" si="7"/>
        <v>17161</v>
      </c>
      <c r="K16" s="21">
        <v>67.82</v>
      </c>
      <c r="L16" s="13">
        <f t="shared" si="5"/>
        <v>66220</v>
      </c>
      <c r="M16" s="22" t="s">
        <v>20</v>
      </c>
      <c r="O16" s="4" t="s">
        <v>60</v>
      </c>
      <c r="P16" s="4" t="s">
        <v>22</v>
      </c>
      <c r="Q16" s="4">
        <v>864.0</v>
      </c>
      <c r="S16" s="15"/>
      <c r="T16" s="4" t="s">
        <v>38</v>
      </c>
      <c r="U16" s="4">
        <v>350.0</v>
      </c>
      <c r="W16" s="4" t="s">
        <v>110</v>
      </c>
      <c r="X16" s="4" t="s">
        <v>22</v>
      </c>
      <c r="Y16" s="4">
        <v>1579.0</v>
      </c>
    </row>
    <row r="17">
      <c r="A17" s="12" t="s">
        <v>31</v>
      </c>
      <c r="B17" s="21">
        <v>67326.0</v>
      </c>
      <c r="C17" s="21">
        <v>3871.0</v>
      </c>
      <c r="D17" s="21">
        <v>11672.0</v>
      </c>
      <c r="E17" s="21">
        <f t="shared" si="6"/>
        <v>15543</v>
      </c>
      <c r="F17" s="21">
        <f t="shared" si="2"/>
        <v>23.09</v>
      </c>
      <c r="G17" s="21">
        <v>30905.0</v>
      </c>
      <c r="H17" s="13">
        <f t="shared" si="3"/>
        <v>20878</v>
      </c>
      <c r="I17" s="21">
        <v>1411.0</v>
      </c>
      <c r="J17" s="13">
        <f t="shared" si="7"/>
        <v>19467</v>
      </c>
      <c r="K17" s="21">
        <v>29.0</v>
      </c>
      <c r="L17" s="13">
        <f t="shared" si="5"/>
        <v>67326</v>
      </c>
      <c r="M17" s="22" t="s">
        <v>20</v>
      </c>
      <c r="O17" s="15"/>
      <c r="P17" s="4" t="s">
        <v>22</v>
      </c>
      <c r="Q17" s="4">
        <v>94.0</v>
      </c>
      <c r="S17" s="15"/>
      <c r="T17" s="4" t="s">
        <v>127</v>
      </c>
      <c r="U17" s="4">
        <v>100.0</v>
      </c>
      <c r="W17" s="15"/>
      <c r="X17" s="4" t="s">
        <v>154</v>
      </c>
      <c r="Y17" s="4">
        <v>100.0</v>
      </c>
    </row>
    <row r="18">
      <c r="A18" s="12" t="s">
        <v>46</v>
      </c>
      <c r="B18" s="21">
        <v>81304.0</v>
      </c>
      <c r="C18" s="21">
        <v>4388.0</v>
      </c>
      <c r="D18" s="21">
        <v>8305.0</v>
      </c>
      <c r="E18" s="21">
        <f t="shared" si="6"/>
        <v>12693</v>
      </c>
      <c r="F18" s="21">
        <f t="shared" si="2"/>
        <v>15.61</v>
      </c>
      <c r="G18" s="21">
        <v>49847.0</v>
      </c>
      <c r="H18" s="13">
        <f t="shared" si="3"/>
        <v>18764</v>
      </c>
      <c r="I18" s="21">
        <v>500.0</v>
      </c>
      <c r="J18" s="13">
        <f t="shared" si="7"/>
        <v>18264</v>
      </c>
      <c r="K18" s="21">
        <v>28.51</v>
      </c>
      <c r="L18" s="13">
        <f t="shared" si="5"/>
        <v>81304</v>
      </c>
      <c r="M18" s="22" t="s">
        <v>155</v>
      </c>
      <c r="O18" s="15"/>
      <c r="P18" s="4" t="s">
        <v>127</v>
      </c>
      <c r="Q18" s="4">
        <v>100.0</v>
      </c>
      <c r="S18" s="15"/>
      <c r="T18" s="4" t="s">
        <v>22</v>
      </c>
      <c r="U18" s="4">
        <v>58.0</v>
      </c>
      <c r="W18" s="15"/>
      <c r="X18" s="4" t="s">
        <v>140</v>
      </c>
      <c r="Y18" s="4">
        <v>1083.0</v>
      </c>
    </row>
    <row r="19">
      <c r="A19" s="12" t="s">
        <v>51</v>
      </c>
      <c r="B19" s="21">
        <v>87770.0</v>
      </c>
      <c r="C19" s="21">
        <v>8336.0</v>
      </c>
      <c r="D19" s="21">
        <v>8918.0</v>
      </c>
      <c r="E19" s="21">
        <f t="shared" si="6"/>
        <v>17254</v>
      </c>
      <c r="F19" s="21">
        <f t="shared" si="2"/>
        <v>19.66</v>
      </c>
      <c r="G19" s="21">
        <v>53064.0</v>
      </c>
      <c r="H19" s="13">
        <f t="shared" si="3"/>
        <v>17452</v>
      </c>
      <c r="I19" s="21">
        <v>1973.0</v>
      </c>
      <c r="J19" s="13">
        <f t="shared" si="7"/>
        <v>15479</v>
      </c>
      <c r="K19" s="21">
        <v>109.18</v>
      </c>
      <c r="L19" s="13">
        <f t="shared" si="5"/>
        <v>87770</v>
      </c>
      <c r="M19" s="22" t="s">
        <v>20</v>
      </c>
      <c r="O19" s="15"/>
      <c r="P19" s="4" t="s">
        <v>142</v>
      </c>
      <c r="Q19" s="4">
        <v>7041.0</v>
      </c>
      <c r="S19" s="4" t="s">
        <v>74</v>
      </c>
      <c r="T19" s="4" t="s">
        <v>22</v>
      </c>
      <c r="U19" s="4">
        <v>768.0</v>
      </c>
      <c r="W19" s="15"/>
      <c r="X19" s="15"/>
      <c r="Y19" s="15"/>
    </row>
    <row r="20">
      <c r="A20" s="12" t="s">
        <v>57</v>
      </c>
      <c r="B20" s="21">
        <v>104230.0</v>
      </c>
      <c r="C20" s="21">
        <v>7705.0</v>
      </c>
      <c r="D20" s="21">
        <v>16244.0</v>
      </c>
      <c r="E20" s="21">
        <f t="shared" si="6"/>
        <v>23949</v>
      </c>
      <c r="F20" s="21">
        <f t="shared" si="2"/>
        <v>22.98</v>
      </c>
      <c r="G20" s="21">
        <v>58258.0</v>
      </c>
      <c r="H20" s="13">
        <f t="shared" si="3"/>
        <v>22023</v>
      </c>
      <c r="I20" s="21">
        <v>14362.0</v>
      </c>
      <c r="J20" s="13">
        <f t="shared" si="7"/>
        <v>7661</v>
      </c>
      <c r="K20" s="21">
        <v>38.41</v>
      </c>
      <c r="L20" s="13">
        <f t="shared" si="5"/>
        <v>104230</v>
      </c>
      <c r="M20" s="22" t="s">
        <v>157</v>
      </c>
      <c r="O20" s="4" t="s">
        <v>64</v>
      </c>
      <c r="P20" s="4" t="s">
        <v>97</v>
      </c>
      <c r="Q20" s="4">
        <v>3600.0</v>
      </c>
      <c r="S20" s="15"/>
      <c r="T20" s="4" t="s">
        <v>96</v>
      </c>
      <c r="U20" s="4">
        <v>260.0</v>
      </c>
    </row>
    <row r="21">
      <c r="A21" s="12" t="s">
        <v>62</v>
      </c>
      <c r="B21" s="21">
        <v>77309.0</v>
      </c>
      <c r="C21" s="21">
        <v>7648.0</v>
      </c>
      <c r="D21" s="21">
        <v>7048.0</v>
      </c>
      <c r="E21" s="21">
        <f t="shared" si="6"/>
        <v>14696</v>
      </c>
      <c r="F21" s="21">
        <f t="shared" si="2"/>
        <v>19.01</v>
      </c>
      <c r="G21" s="21">
        <v>43964.0</v>
      </c>
      <c r="H21" s="13">
        <f t="shared" si="3"/>
        <v>18649</v>
      </c>
      <c r="I21" s="21">
        <v>1040.0</v>
      </c>
      <c r="J21" s="13">
        <f t="shared" si="7"/>
        <v>17609</v>
      </c>
      <c r="K21" s="21">
        <v>27.54</v>
      </c>
      <c r="L21" s="13">
        <f t="shared" si="5"/>
        <v>77309</v>
      </c>
      <c r="M21" s="22" t="s">
        <v>158</v>
      </c>
      <c r="O21" s="15"/>
      <c r="P21" s="4" t="s">
        <v>48</v>
      </c>
      <c r="Q21" s="4">
        <v>1500.0</v>
      </c>
      <c r="S21" s="15"/>
      <c r="T21" s="4" t="s">
        <v>127</v>
      </c>
      <c r="U21" s="4">
        <v>250.0</v>
      </c>
    </row>
    <row r="22">
      <c r="A22" s="12" t="s">
        <v>67</v>
      </c>
      <c r="B22" s="21">
        <v>64072.0</v>
      </c>
      <c r="C22" s="21">
        <v>4923.0</v>
      </c>
      <c r="D22" s="21">
        <v>5809.0</v>
      </c>
      <c r="E22" s="21">
        <f t="shared" si="6"/>
        <v>10732</v>
      </c>
      <c r="F22" s="21">
        <f t="shared" si="2"/>
        <v>16.75</v>
      </c>
      <c r="G22" s="34">
        <v>34868.0</v>
      </c>
      <c r="H22" s="13">
        <f t="shared" si="3"/>
        <v>18472</v>
      </c>
      <c r="I22" s="21">
        <v>989.0</v>
      </c>
      <c r="J22" s="13">
        <f t="shared" si="7"/>
        <v>17483</v>
      </c>
      <c r="K22" s="21">
        <v>19.47</v>
      </c>
      <c r="L22" s="13">
        <f t="shared" si="5"/>
        <v>64072</v>
      </c>
      <c r="M22" s="22" t="s">
        <v>20</v>
      </c>
      <c r="O22" s="15"/>
      <c r="P22" s="4" t="s">
        <v>22</v>
      </c>
      <c r="Q22" s="4">
        <v>114.0</v>
      </c>
      <c r="S22" s="4" t="s">
        <v>77</v>
      </c>
      <c r="T22" s="4" t="s">
        <v>78</v>
      </c>
      <c r="U22" s="4">
        <v>400.0</v>
      </c>
    </row>
    <row r="23">
      <c r="A23" s="12" t="s">
        <v>74</v>
      </c>
      <c r="B23" s="21">
        <v>79319.0</v>
      </c>
      <c r="C23" s="21">
        <v>7591.0</v>
      </c>
      <c r="D23" s="21">
        <v>9572.0</v>
      </c>
      <c r="E23" s="21">
        <f t="shared" si="6"/>
        <v>17163</v>
      </c>
      <c r="F23" s="21">
        <f t="shared" si="2"/>
        <v>21.64</v>
      </c>
      <c r="G23" s="21">
        <v>45232.0</v>
      </c>
      <c r="H23" s="13">
        <f t="shared" si="3"/>
        <v>16924</v>
      </c>
      <c r="I23" s="21">
        <v>1278.0</v>
      </c>
      <c r="J23" s="13">
        <f t="shared" si="7"/>
        <v>15646</v>
      </c>
      <c r="K23" s="21">
        <v>87.37</v>
      </c>
      <c r="L23" s="13">
        <f t="shared" si="5"/>
        <v>79319</v>
      </c>
      <c r="M23" s="22" t="s">
        <v>20</v>
      </c>
      <c r="O23" s="4" t="s">
        <v>68</v>
      </c>
      <c r="P23" s="4" t="s">
        <v>78</v>
      </c>
      <c r="Q23" s="4">
        <v>200.0</v>
      </c>
      <c r="S23" s="15"/>
      <c r="T23" s="4" t="s">
        <v>97</v>
      </c>
      <c r="U23" s="4">
        <v>1800.0</v>
      </c>
    </row>
    <row r="24">
      <c r="A24" s="12" t="s">
        <v>77</v>
      </c>
      <c r="B24" s="21">
        <v>70069.0</v>
      </c>
      <c r="C24" s="21">
        <v>6481.0</v>
      </c>
      <c r="D24" s="21">
        <v>8781.0</v>
      </c>
      <c r="E24" s="21">
        <f t="shared" si="6"/>
        <v>15262</v>
      </c>
      <c r="F24" s="21">
        <f t="shared" si="2"/>
        <v>21.78</v>
      </c>
      <c r="G24" s="21">
        <v>36141.0</v>
      </c>
      <c r="H24" s="13">
        <f t="shared" si="3"/>
        <v>18666</v>
      </c>
      <c r="I24" s="21">
        <v>9378.0</v>
      </c>
      <c r="J24" s="13">
        <f t="shared" si="7"/>
        <v>9288</v>
      </c>
      <c r="K24" s="21">
        <v>606.16</v>
      </c>
      <c r="L24" s="13">
        <f t="shared" si="5"/>
        <v>70069</v>
      </c>
      <c r="M24" s="22" t="s">
        <v>159</v>
      </c>
      <c r="O24" s="15"/>
      <c r="P24" s="4" t="s">
        <v>22</v>
      </c>
      <c r="Q24" s="4">
        <v>1020.0</v>
      </c>
      <c r="S24" s="15"/>
      <c r="T24" s="4" t="s">
        <v>22</v>
      </c>
      <c r="U24" s="4">
        <v>847.0</v>
      </c>
    </row>
    <row r="25">
      <c r="A25" s="12" t="s">
        <v>88</v>
      </c>
      <c r="B25" s="21">
        <v>80716.0</v>
      </c>
      <c r="C25" s="21">
        <v>8737.0</v>
      </c>
      <c r="D25" s="21">
        <v>5854.0</v>
      </c>
      <c r="E25" s="21">
        <f t="shared" si="6"/>
        <v>14591</v>
      </c>
      <c r="F25" s="21">
        <f t="shared" si="2"/>
        <v>18.08</v>
      </c>
      <c r="G25" s="21">
        <v>47687.0</v>
      </c>
      <c r="H25" s="13">
        <f t="shared" si="3"/>
        <v>18438</v>
      </c>
      <c r="I25" s="21">
        <v>7231.0</v>
      </c>
      <c r="J25" s="13">
        <f t="shared" si="7"/>
        <v>11207</v>
      </c>
      <c r="K25" s="21">
        <v>7.76</v>
      </c>
      <c r="L25" s="13">
        <f t="shared" si="5"/>
        <v>80716</v>
      </c>
      <c r="M25" s="22" t="s">
        <v>160</v>
      </c>
      <c r="O25" s="4" t="s">
        <v>23</v>
      </c>
      <c r="P25" s="4" t="s">
        <v>38</v>
      </c>
      <c r="Q25" s="4">
        <v>350.0</v>
      </c>
      <c r="S25" s="15"/>
      <c r="T25" s="4" t="s">
        <v>142</v>
      </c>
      <c r="U25" s="4">
        <v>5981.0</v>
      </c>
    </row>
    <row r="26">
      <c r="A26" s="12" t="s">
        <v>98</v>
      </c>
      <c r="B26" s="21">
        <v>100733.0</v>
      </c>
      <c r="C26" s="21">
        <v>14250.0</v>
      </c>
      <c r="D26" s="21">
        <v>11283.0</v>
      </c>
      <c r="E26" s="21">
        <f t="shared" si="6"/>
        <v>25533</v>
      </c>
      <c r="F26" s="21">
        <f t="shared" si="2"/>
        <v>25.35</v>
      </c>
      <c r="G26" s="21">
        <v>55003.0</v>
      </c>
      <c r="H26" s="13">
        <f t="shared" si="3"/>
        <v>20197</v>
      </c>
      <c r="I26" s="21">
        <v>1596.0</v>
      </c>
      <c r="J26" s="13">
        <f t="shared" si="7"/>
        <v>18601</v>
      </c>
      <c r="K26" s="21">
        <v>105.02</v>
      </c>
      <c r="L26" s="13">
        <f t="shared" si="5"/>
        <v>100733</v>
      </c>
      <c r="M26" s="22" t="s">
        <v>20</v>
      </c>
      <c r="O26" s="15"/>
      <c r="P26" s="4" t="s">
        <v>22</v>
      </c>
      <c r="Q26" s="4">
        <v>864.0</v>
      </c>
      <c r="S26" s="15"/>
      <c r="T26" s="4" t="s">
        <v>38</v>
      </c>
      <c r="U26" s="4">
        <v>350.0</v>
      </c>
    </row>
    <row r="27">
      <c r="A27" s="12" t="s">
        <v>25</v>
      </c>
      <c r="B27" s="21">
        <v>104248.0</v>
      </c>
      <c r="C27" s="21">
        <v>10304.0</v>
      </c>
      <c r="D27" s="21">
        <v>7037.0</v>
      </c>
      <c r="E27" s="21">
        <f t="shared" si="6"/>
        <v>17341</v>
      </c>
      <c r="F27" s="21">
        <f t="shared" si="2"/>
        <v>16.63</v>
      </c>
      <c r="G27" s="21">
        <v>59668.0</v>
      </c>
      <c r="H27" s="13">
        <f t="shared" si="3"/>
        <v>27239</v>
      </c>
      <c r="I27" s="21">
        <v>1914.0</v>
      </c>
      <c r="J27" s="13">
        <f t="shared" si="7"/>
        <v>25325</v>
      </c>
      <c r="K27" s="21">
        <v>98.16</v>
      </c>
      <c r="L27" s="13">
        <f t="shared" si="5"/>
        <v>104248</v>
      </c>
      <c r="M27" s="22" t="s">
        <v>161</v>
      </c>
      <c r="O27" s="4" t="s">
        <v>59</v>
      </c>
      <c r="P27" s="4" t="s">
        <v>22</v>
      </c>
      <c r="Q27" s="4">
        <v>1142.0</v>
      </c>
      <c r="S27" s="4" t="s">
        <v>88</v>
      </c>
      <c r="T27" s="4" t="s">
        <v>162</v>
      </c>
      <c r="U27" s="4">
        <v>484.0</v>
      </c>
    </row>
    <row r="28">
      <c r="A28" s="12" t="s">
        <v>49</v>
      </c>
      <c r="B28" s="21">
        <v>63431.0</v>
      </c>
      <c r="C28" s="21">
        <v>10409.0</v>
      </c>
      <c r="D28" s="21">
        <v>4691.0</v>
      </c>
      <c r="E28" s="21">
        <f t="shared" si="6"/>
        <v>15100</v>
      </c>
      <c r="F28" s="21">
        <f t="shared" si="2"/>
        <v>23.81</v>
      </c>
      <c r="G28" s="21">
        <v>32899.0</v>
      </c>
      <c r="H28" s="13">
        <f t="shared" si="3"/>
        <v>15432</v>
      </c>
      <c r="I28" s="21">
        <v>1491.0</v>
      </c>
      <c r="J28" s="13">
        <f t="shared" si="7"/>
        <v>13941</v>
      </c>
      <c r="K28" s="21">
        <v>62.45</v>
      </c>
      <c r="L28" s="13">
        <f t="shared" si="5"/>
        <v>63431</v>
      </c>
      <c r="M28" s="22" t="s">
        <v>20</v>
      </c>
      <c r="O28" s="4" t="s">
        <v>70</v>
      </c>
      <c r="P28" s="4" t="s">
        <v>142</v>
      </c>
      <c r="Q28" s="4">
        <v>6671.0</v>
      </c>
      <c r="S28" s="15"/>
      <c r="T28" s="4" t="s">
        <v>128</v>
      </c>
      <c r="U28" s="4">
        <v>100.0</v>
      </c>
    </row>
    <row r="29">
      <c r="A29" s="12" t="s">
        <v>65</v>
      </c>
      <c r="B29" s="21">
        <v>57388.0</v>
      </c>
      <c r="C29" s="21">
        <v>4647.0</v>
      </c>
      <c r="D29" s="21">
        <v>7146.0</v>
      </c>
      <c r="E29" s="21">
        <f t="shared" si="6"/>
        <v>11793</v>
      </c>
      <c r="F29" s="21">
        <f t="shared" si="2"/>
        <v>20.55</v>
      </c>
      <c r="G29" s="21">
        <v>27858.0</v>
      </c>
      <c r="H29" s="13">
        <f t="shared" si="3"/>
        <v>17737</v>
      </c>
      <c r="I29" s="21">
        <v>7567.0</v>
      </c>
      <c r="J29" s="13">
        <f t="shared" si="7"/>
        <v>10170</v>
      </c>
      <c r="K29" s="21">
        <v>0.0</v>
      </c>
      <c r="L29" s="13">
        <f t="shared" si="5"/>
        <v>57388</v>
      </c>
      <c r="M29" s="22" t="s">
        <v>20</v>
      </c>
      <c r="O29" s="15"/>
      <c r="P29" s="4" t="s">
        <v>22</v>
      </c>
      <c r="Q29" s="4">
        <v>779.0</v>
      </c>
      <c r="S29" s="15"/>
      <c r="T29" s="4" t="s">
        <v>142</v>
      </c>
      <c r="U29" s="4">
        <v>5751.0</v>
      </c>
    </row>
    <row r="30">
      <c r="A30" s="22" t="s">
        <v>101</v>
      </c>
      <c r="B30" s="21">
        <v>73813.0</v>
      </c>
      <c r="C30" s="21">
        <v>4315.0</v>
      </c>
      <c r="D30" s="21">
        <v>6915.0</v>
      </c>
      <c r="E30" s="21">
        <f t="shared" si="6"/>
        <v>11230</v>
      </c>
      <c r="F30" s="21">
        <f t="shared" si="2"/>
        <v>15.21</v>
      </c>
      <c r="G30" s="21">
        <v>45365.0</v>
      </c>
      <c r="H30" s="13">
        <f t="shared" si="3"/>
        <v>17218</v>
      </c>
      <c r="I30" s="21">
        <v>1435.0</v>
      </c>
      <c r="J30" s="13">
        <f t="shared" si="7"/>
        <v>15783</v>
      </c>
      <c r="K30" s="21">
        <v>52.71</v>
      </c>
      <c r="L30" s="13">
        <f t="shared" si="5"/>
        <v>73813</v>
      </c>
      <c r="M30" s="22" t="s">
        <v>20</v>
      </c>
      <c r="O30" s="4" t="s">
        <v>75</v>
      </c>
      <c r="P30" s="4" t="s">
        <v>22</v>
      </c>
      <c r="Q30" s="4">
        <v>676.0</v>
      </c>
      <c r="S30" s="15"/>
      <c r="T30" s="4" t="s">
        <v>38</v>
      </c>
      <c r="U30" s="4">
        <v>350.0</v>
      </c>
    </row>
    <row r="31">
      <c r="A31" s="22" t="s">
        <v>110</v>
      </c>
      <c r="B31" s="21">
        <v>64332.0</v>
      </c>
      <c r="C31" s="21">
        <v>2669.0</v>
      </c>
      <c r="D31" s="21">
        <v>9325.0</v>
      </c>
      <c r="E31" s="21">
        <f t="shared" si="6"/>
        <v>11994</v>
      </c>
      <c r="F31" s="21">
        <f t="shared" si="2"/>
        <v>18.64</v>
      </c>
      <c r="G31" s="21">
        <v>36047.0</v>
      </c>
      <c r="H31" s="13">
        <f t="shared" si="3"/>
        <v>16291</v>
      </c>
      <c r="I31" s="21">
        <v>2762.0</v>
      </c>
      <c r="J31" s="13">
        <f t="shared" si="7"/>
        <v>13529</v>
      </c>
      <c r="K31" s="21">
        <v>32.48</v>
      </c>
      <c r="L31" s="13">
        <f t="shared" si="5"/>
        <v>64332</v>
      </c>
      <c r="M31" s="22" t="s">
        <v>20</v>
      </c>
      <c r="O31" s="15"/>
      <c r="P31" s="4" t="s">
        <v>163</v>
      </c>
      <c r="Q31" s="4">
        <v>200.0</v>
      </c>
      <c r="S31" s="15"/>
      <c r="T31" s="4" t="s">
        <v>22</v>
      </c>
      <c r="U31" s="4">
        <v>546.0</v>
      </c>
    </row>
    <row r="32">
      <c r="A32" s="28"/>
      <c r="B32" s="29">
        <f t="shared" ref="B32:C32" si="8">SUM(B2:B31)</f>
        <v>2113012</v>
      </c>
      <c r="C32" s="29">
        <f t="shared" si="8"/>
        <v>199337</v>
      </c>
      <c r="D32" s="29">
        <f t="shared" ref="D32:E32" si="9">sum(D2:D31)</f>
        <v>223496</v>
      </c>
      <c r="E32" s="29">
        <f t="shared" si="9"/>
        <v>422833</v>
      </c>
      <c r="F32" s="29">
        <f t="shared" si="2"/>
        <v>20.01</v>
      </c>
      <c r="G32" s="29">
        <f t="shared" ref="G32:K32" si="10">SUM(G2:G29)</f>
        <v>1086477</v>
      </c>
      <c r="H32" s="29">
        <f t="shared" si="10"/>
        <v>488781</v>
      </c>
      <c r="I32" s="29">
        <f t="shared" si="10"/>
        <v>87147</v>
      </c>
      <c r="J32" s="29">
        <f t="shared" si="10"/>
        <v>401634</v>
      </c>
      <c r="K32" s="29">
        <f t="shared" si="10"/>
        <v>2013.41</v>
      </c>
      <c r="L32" s="29">
        <f>SUM(L2:L31)</f>
        <v>2113012</v>
      </c>
      <c r="M32" s="29"/>
      <c r="O32" s="4" t="s">
        <v>27</v>
      </c>
      <c r="P32" s="4" t="s">
        <v>22</v>
      </c>
      <c r="Q32" s="4">
        <v>679.0</v>
      </c>
      <c r="S32" s="15"/>
      <c r="T32" s="15"/>
      <c r="U32" s="15"/>
    </row>
    <row r="33">
      <c r="O33" s="15"/>
      <c r="P33" s="4" t="s">
        <v>127</v>
      </c>
      <c r="Q33" s="4">
        <v>100.0</v>
      </c>
      <c r="S33" s="15"/>
      <c r="T33" s="15"/>
      <c r="U33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75"/>
    <col customWidth="1" min="3" max="3" width="7.63"/>
    <col customWidth="1" min="4" max="4" width="7.75"/>
    <col customWidth="1" min="5" max="5" width="14.75"/>
    <col customWidth="1" min="6" max="6" width="17.63"/>
    <col customWidth="1" min="7" max="7" width="8.63"/>
    <col customWidth="1" min="8" max="8" width="7.63"/>
    <col customWidth="1" min="9" max="9" width="9.75"/>
    <col customWidth="1" min="10" max="10" width="14.5"/>
    <col customWidth="1" min="11" max="11" width="22.13"/>
    <col customWidth="1" min="12" max="12" width="8.75"/>
    <col customWidth="1" min="13" max="13" width="17.0"/>
    <col customWidth="1" min="14" max="14" width="12.63"/>
    <col customWidth="1" min="15" max="15" width="5.25"/>
    <col customWidth="1" min="16" max="16" width="21.0"/>
    <col customWidth="1" min="17" max="17" width="7.88"/>
    <col customWidth="1" min="18" max="18" width="12.63"/>
    <col customWidth="1" min="19" max="19" width="5.25"/>
    <col customWidth="1" min="20" max="20" width="20.75"/>
    <col customWidth="1" min="21" max="21" width="7.88"/>
    <col customWidth="1" min="22" max="22" width="12.63"/>
    <col customWidth="1" min="23" max="23" width="5.25"/>
    <col customWidth="1" min="24" max="24" width="10.63"/>
    <col customWidth="1" min="25" max="25" width="7.88"/>
    <col customWidth="1" min="26" max="29" width="12.63"/>
  </cols>
  <sheetData>
    <row r="1">
      <c r="A1" s="3" t="s">
        <v>1</v>
      </c>
      <c r="B1" s="3" t="s">
        <v>5</v>
      </c>
      <c r="C1" s="27" t="s">
        <v>114</v>
      </c>
      <c r="D1" s="27" t="s">
        <v>115</v>
      </c>
      <c r="E1" s="27" t="s">
        <v>6</v>
      </c>
      <c r="F1" s="27" t="s">
        <v>118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O1" s="8" t="s">
        <v>1</v>
      </c>
      <c r="P1" s="8" t="s">
        <v>14</v>
      </c>
      <c r="Q1" s="8" t="s">
        <v>15</v>
      </c>
      <c r="S1" s="8" t="s">
        <v>1</v>
      </c>
      <c r="T1" s="8" t="s">
        <v>14</v>
      </c>
      <c r="U1" s="8" t="s">
        <v>15</v>
      </c>
      <c r="W1" s="8" t="s">
        <v>1</v>
      </c>
      <c r="X1" s="8" t="s">
        <v>14</v>
      </c>
      <c r="Y1" s="8" t="s">
        <v>15</v>
      </c>
    </row>
    <row r="2">
      <c r="A2" s="12" t="s">
        <v>16</v>
      </c>
      <c r="B2" s="21">
        <v>104130.0</v>
      </c>
      <c r="C2" s="21">
        <v>7693.0</v>
      </c>
      <c r="D2" s="21">
        <v>12893.0</v>
      </c>
      <c r="E2" s="21">
        <f t="shared" ref="E2:E32" si="1">sum(C2:D2)</f>
        <v>20586</v>
      </c>
      <c r="F2" s="35">
        <f t="shared" ref="F2:F33" si="2">if((E2&gt;0),round((E2/B2)*100, 2) , 0)</f>
        <v>19.77</v>
      </c>
      <c r="G2" s="21">
        <v>60287.0</v>
      </c>
      <c r="H2" s="13">
        <f t="shared" ref="H2:H17" si="3">(B2-E2-G2)</f>
        <v>23257</v>
      </c>
      <c r="I2" s="21">
        <v>887.0</v>
      </c>
      <c r="J2" s="13">
        <f t="shared" ref="J2:J17" si="4">sum(H2-I2)</f>
        <v>22370</v>
      </c>
      <c r="K2" s="21">
        <v>58.17</v>
      </c>
      <c r="L2" s="13">
        <f t="shared" ref="L2:L17" si="5">sum(C2+D2+G2+H2)</f>
        <v>104130</v>
      </c>
      <c r="M2" s="22" t="s">
        <v>20</v>
      </c>
      <c r="O2" s="24" t="s">
        <v>16</v>
      </c>
      <c r="P2" s="24" t="s">
        <v>22</v>
      </c>
      <c r="Q2" s="23">
        <v>887.0</v>
      </c>
      <c r="S2" s="24" t="s">
        <v>23</v>
      </c>
      <c r="T2" s="4" t="s">
        <v>22</v>
      </c>
      <c r="U2" s="4">
        <v>365.0</v>
      </c>
      <c r="W2" s="24" t="s">
        <v>25</v>
      </c>
      <c r="X2" s="4" t="s">
        <v>164</v>
      </c>
      <c r="Y2" s="4">
        <v>1298.0</v>
      </c>
    </row>
    <row r="3">
      <c r="A3" s="22" t="s">
        <v>28</v>
      </c>
      <c r="B3" s="21">
        <v>93787.0</v>
      </c>
      <c r="C3" s="21">
        <v>11841.0</v>
      </c>
      <c r="D3" s="21">
        <v>13716.0</v>
      </c>
      <c r="E3" s="21">
        <f t="shared" si="1"/>
        <v>25557</v>
      </c>
      <c r="F3" s="35">
        <f t="shared" si="2"/>
        <v>27.25</v>
      </c>
      <c r="G3" s="21">
        <v>59468.0</v>
      </c>
      <c r="H3" s="13">
        <f t="shared" si="3"/>
        <v>8762</v>
      </c>
      <c r="I3" s="21">
        <v>4237.0</v>
      </c>
      <c r="J3" s="13">
        <f t="shared" si="4"/>
        <v>4525</v>
      </c>
      <c r="K3" s="21">
        <v>68.17</v>
      </c>
      <c r="L3" s="13">
        <f t="shared" si="5"/>
        <v>93787</v>
      </c>
      <c r="M3" s="22" t="s">
        <v>20</v>
      </c>
      <c r="O3" s="4" t="s">
        <v>28</v>
      </c>
      <c r="P3" s="4" t="s">
        <v>22</v>
      </c>
      <c r="Q3" s="4">
        <v>179.0</v>
      </c>
      <c r="S3" s="4"/>
      <c r="T3" s="4" t="s">
        <v>165</v>
      </c>
      <c r="U3" s="4">
        <v>100.0</v>
      </c>
      <c r="W3" s="4"/>
      <c r="X3" s="4" t="s">
        <v>166</v>
      </c>
      <c r="Y3" s="4">
        <v>752.0</v>
      </c>
    </row>
    <row r="4">
      <c r="A4" s="22" t="s">
        <v>33</v>
      </c>
      <c r="B4" s="21">
        <v>111485.0</v>
      </c>
      <c r="C4" s="21">
        <v>10090.0</v>
      </c>
      <c r="D4" s="21">
        <v>17383.0</v>
      </c>
      <c r="E4" s="21">
        <f t="shared" si="1"/>
        <v>27473</v>
      </c>
      <c r="F4" s="35">
        <f t="shared" si="2"/>
        <v>24.64</v>
      </c>
      <c r="G4" s="21">
        <v>56299.0</v>
      </c>
      <c r="H4" s="13">
        <f t="shared" si="3"/>
        <v>27713</v>
      </c>
      <c r="I4" s="21">
        <v>1481.0</v>
      </c>
      <c r="J4" s="13">
        <f t="shared" si="4"/>
        <v>26232</v>
      </c>
      <c r="K4" s="21">
        <v>35.72</v>
      </c>
      <c r="L4" s="13">
        <f t="shared" si="5"/>
        <v>111485</v>
      </c>
      <c r="M4" s="22" t="s">
        <v>20</v>
      </c>
      <c r="O4" s="4"/>
      <c r="P4" s="36" t="s">
        <v>167</v>
      </c>
      <c r="Q4" s="36">
        <v>100.0</v>
      </c>
      <c r="S4" s="4" t="s">
        <v>59</v>
      </c>
      <c r="T4" s="4" t="s">
        <v>22</v>
      </c>
      <c r="U4" s="4">
        <v>285.0</v>
      </c>
      <c r="W4" s="4"/>
      <c r="X4" s="4" t="s">
        <v>38</v>
      </c>
      <c r="Y4" s="4">
        <v>350.0</v>
      </c>
    </row>
    <row r="5">
      <c r="A5" s="12" t="s">
        <v>40</v>
      </c>
      <c r="B5" s="21">
        <v>70912.0</v>
      </c>
      <c r="C5" s="21">
        <v>5412.0</v>
      </c>
      <c r="D5" s="21">
        <v>9729.0</v>
      </c>
      <c r="E5" s="21">
        <f t="shared" si="1"/>
        <v>15141</v>
      </c>
      <c r="F5" s="35">
        <f t="shared" si="2"/>
        <v>21.35</v>
      </c>
      <c r="G5" s="21">
        <v>39822.0</v>
      </c>
      <c r="H5" s="13">
        <f t="shared" si="3"/>
        <v>15949</v>
      </c>
      <c r="I5" s="21">
        <v>6567.0</v>
      </c>
      <c r="J5" s="13">
        <f t="shared" si="4"/>
        <v>9382</v>
      </c>
      <c r="K5" s="21">
        <v>15.25</v>
      </c>
      <c r="L5" s="13">
        <f t="shared" si="5"/>
        <v>70912</v>
      </c>
      <c r="M5" s="22" t="s">
        <v>168</v>
      </c>
      <c r="O5" s="37"/>
      <c r="P5" s="38" t="s">
        <v>142</v>
      </c>
      <c r="Q5" s="38">
        <v>3064.0</v>
      </c>
      <c r="S5" s="4"/>
      <c r="T5" s="4" t="s">
        <v>22</v>
      </c>
      <c r="U5" s="4">
        <v>863.0</v>
      </c>
      <c r="W5" s="15"/>
      <c r="X5" s="4" t="s">
        <v>97</v>
      </c>
      <c r="Y5" s="4">
        <v>200.0</v>
      </c>
    </row>
    <row r="6">
      <c r="A6" s="12" t="s">
        <v>47</v>
      </c>
      <c r="B6" s="21">
        <v>48295.0</v>
      </c>
      <c r="C6" s="21">
        <v>8560.0</v>
      </c>
      <c r="D6" s="21">
        <v>6857.0</v>
      </c>
      <c r="E6" s="21">
        <f t="shared" si="1"/>
        <v>15417</v>
      </c>
      <c r="F6" s="35">
        <f t="shared" si="2"/>
        <v>31.92</v>
      </c>
      <c r="G6" s="21">
        <v>22230.0</v>
      </c>
      <c r="H6" s="13">
        <f t="shared" si="3"/>
        <v>10648</v>
      </c>
      <c r="I6" s="21">
        <v>993.0</v>
      </c>
      <c r="J6" s="13">
        <f t="shared" si="4"/>
        <v>9655</v>
      </c>
      <c r="K6" s="21">
        <v>0.0</v>
      </c>
      <c r="L6" s="13">
        <f t="shared" si="5"/>
        <v>48295</v>
      </c>
      <c r="M6" s="22" t="s">
        <v>20</v>
      </c>
      <c r="O6" s="15"/>
      <c r="P6" s="4" t="s">
        <v>22</v>
      </c>
      <c r="Q6" s="4">
        <v>894.0</v>
      </c>
      <c r="S6" s="4"/>
      <c r="T6" s="4" t="s">
        <v>142</v>
      </c>
      <c r="U6" s="4">
        <v>1575.0</v>
      </c>
      <c r="W6" s="4" t="s">
        <v>49</v>
      </c>
      <c r="X6" s="4" t="s">
        <v>22</v>
      </c>
      <c r="Y6" s="4">
        <v>1201.0</v>
      </c>
    </row>
    <row r="7">
      <c r="A7" s="12" t="s">
        <v>52</v>
      </c>
      <c r="B7" s="21">
        <v>68905.0</v>
      </c>
      <c r="C7" s="21">
        <v>6183.0</v>
      </c>
      <c r="D7" s="21">
        <v>9913.0</v>
      </c>
      <c r="E7" s="21">
        <f t="shared" si="1"/>
        <v>16096</v>
      </c>
      <c r="F7" s="35">
        <f t="shared" si="2"/>
        <v>23.36</v>
      </c>
      <c r="G7" s="21">
        <v>32205.0</v>
      </c>
      <c r="H7" s="13">
        <f t="shared" si="3"/>
        <v>20604</v>
      </c>
      <c r="I7" s="21">
        <v>7152.0</v>
      </c>
      <c r="J7" s="13">
        <f t="shared" si="4"/>
        <v>13452</v>
      </c>
      <c r="K7" s="21">
        <v>0.0</v>
      </c>
      <c r="L7" s="13">
        <f t="shared" si="5"/>
        <v>68905</v>
      </c>
      <c r="M7" s="22" t="s">
        <v>20</v>
      </c>
      <c r="O7" s="4" t="s">
        <v>33</v>
      </c>
      <c r="P7" s="4" t="s">
        <v>22</v>
      </c>
      <c r="Q7" s="4">
        <v>1481.0</v>
      </c>
      <c r="S7" s="38" t="s">
        <v>70</v>
      </c>
      <c r="T7" s="38" t="s">
        <v>142</v>
      </c>
      <c r="U7" s="38">
        <v>6000.0</v>
      </c>
      <c r="W7" s="37"/>
      <c r="X7" s="38" t="s">
        <v>142</v>
      </c>
      <c r="Y7" s="38">
        <v>4180.0</v>
      </c>
    </row>
    <row r="8">
      <c r="A8" s="12" t="s">
        <v>56</v>
      </c>
      <c r="B8" s="21">
        <v>80721.0</v>
      </c>
      <c r="C8" s="21">
        <v>8877.0</v>
      </c>
      <c r="D8" s="21">
        <v>8931.0</v>
      </c>
      <c r="E8" s="21">
        <f t="shared" si="1"/>
        <v>17808</v>
      </c>
      <c r="F8" s="35">
        <f t="shared" si="2"/>
        <v>22.06</v>
      </c>
      <c r="G8" s="21">
        <v>38451.0</v>
      </c>
      <c r="H8" s="13">
        <f t="shared" si="3"/>
        <v>24462</v>
      </c>
      <c r="I8" s="21">
        <v>3451.0</v>
      </c>
      <c r="J8" s="13">
        <f t="shared" si="4"/>
        <v>21011</v>
      </c>
      <c r="K8" s="21">
        <v>32.05</v>
      </c>
      <c r="L8" s="13">
        <f t="shared" si="5"/>
        <v>80721</v>
      </c>
      <c r="M8" s="22" t="s">
        <v>20</v>
      </c>
      <c r="O8" s="4" t="s">
        <v>40</v>
      </c>
      <c r="P8" s="4" t="s">
        <v>22</v>
      </c>
      <c r="Q8" s="4">
        <v>2044.0</v>
      </c>
      <c r="S8" s="15"/>
      <c r="T8" s="4" t="s">
        <v>142</v>
      </c>
      <c r="U8" s="4">
        <v>975.0</v>
      </c>
      <c r="W8" s="4" t="s">
        <v>65</v>
      </c>
      <c r="X8" s="4" t="s">
        <v>169</v>
      </c>
      <c r="Y8" s="4">
        <v>0.0</v>
      </c>
    </row>
    <row r="9">
      <c r="A9" s="12" t="s">
        <v>60</v>
      </c>
      <c r="B9" s="21">
        <v>84984.0</v>
      </c>
      <c r="C9" s="21">
        <v>9510.0</v>
      </c>
      <c r="D9" s="21">
        <v>13411.0</v>
      </c>
      <c r="E9" s="21">
        <f t="shared" si="1"/>
        <v>22921</v>
      </c>
      <c r="F9" s="35">
        <f t="shared" si="2"/>
        <v>26.97</v>
      </c>
      <c r="G9" s="21">
        <v>39185.0</v>
      </c>
      <c r="H9" s="13">
        <f t="shared" si="3"/>
        <v>22878</v>
      </c>
      <c r="I9" s="21">
        <v>251.0</v>
      </c>
      <c r="J9" s="13">
        <f t="shared" si="4"/>
        <v>22627</v>
      </c>
      <c r="K9" s="21">
        <v>57.19</v>
      </c>
      <c r="L9" s="13">
        <f t="shared" si="5"/>
        <v>84984</v>
      </c>
      <c r="M9" s="22" t="s">
        <v>20</v>
      </c>
      <c r="O9" s="15"/>
      <c r="P9" s="4" t="s">
        <v>170</v>
      </c>
      <c r="Q9" s="4">
        <v>200.0</v>
      </c>
      <c r="S9" s="15"/>
      <c r="T9" s="4" t="s">
        <v>127</v>
      </c>
      <c r="U9" s="4">
        <v>150.0</v>
      </c>
      <c r="W9" s="4" t="s">
        <v>101</v>
      </c>
      <c r="X9" s="4" t="s">
        <v>38</v>
      </c>
      <c r="Y9" s="4">
        <v>350.0</v>
      </c>
    </row>
    <row r="10">
      <c r="A10" s="12" t="s">
        <v>64</v>
      </c>
      <c r="B10" s="21">
        <v>104796.0</v>
      </c>
      <c r="C10" s="21">
        <v>7130.0</v>
      </c>
      <c r="D10" s="21">
        <v>13071.0</v>
      </c>
      <c r="E10" s="21">
        <f t="shared" si="1"/>
        <v>20201</v>
      </c>
      <c r="F10" s="35">
        <f t="shared" si="2"/>
        <v>19.28</v>
      </c>
      <c r="G10" s="21">
        <v>62586.0</v>
      </c>
      <c r="H10" s="13">
        <f t="shared" si="3"/>
        <v>22009</v>
      </c>
      <c r="I10" s="21">
        <v>5033.0</v>
      </c>
      <c r="J10" s="13">
        <f t="shared" si="4"/>
        <v>16976</v>
      </c>
      <c r="K10" s="21">
        <v>66.49</v>
      </c>
      <c r="L10" s="13">
        <f t="shared" si="5"/>
        <v>104796</v>
      </c>
      <c r="M10" s="22" t="s">
        <v>171</v>
      </c>
      <c r="O10" s="15"/>
      <c r="P10" s="4" t="s">
        <v>172</v>
      </c>
      <c r="Q10" s="4">
        <v>80.0</v>
      </c>
      <c r="S10" s="4" t="s">
        <v>75</v>
      </c>
      <c r="T10" s="4" t="s">
        <v>22</v>
      </c>
      <c r="U10" s="4">
        <v>1680.0</v>
      </c>
      <c r="W10" s="15"/>
      <c r="X10" s="4" t="s">
        <v>22</v>
      </c>
      <c r="Y10" s="4">
        <v>558.0</v>
      </c>
    </row>
    <row r="11">
      <c r="A11" s="12" t="s">
        <v>68</v>
      </c>
      <c r="B11" s="21">
        <v>111038.0</v>
      </c>
      <c r="C11" s="21">
        <v>11248.0</v>
      </c>
      <c r="D11" s="21">
        <v>21136.0</v>
      </c>
      <c r="E11" s="21">
        <f t="shared" si="1"/>
        <v>32384</v>
      </c>
      <c r="F11" s="35">
        <f t="shared" si="2"/>
        <v>29.16</v>
      </c>
      <c r="G11" s="21">
        <v>52389.0</v>
      </c>
      <c r="H11" s="13">
        <f t="shared" si="3"/>
        <v>26265</v>
      </c>
      <c r="I11" s="21">
        <v>9109.0</v>
      </c>
      <c r="J11" s="13">
        <f t="shared" si="4"/>
        <v>17156</v>
      </c>
      <c r="K11" s="21">
        <v>79.38</v>
      </c>
      <c r="L11" s="13">
        <f t="shared" si="5"/>
        <v>111038</v>
      </c>
      <c r="M11" s="22" t="s">
        <v>20</v>
      </c>
      <c r="O11" s="15"/>
      <c r="P11" s="4" t="s">
        <v>112</v>
      </c>
      <c r="Q11" s="4">
        <v>3650.0</v>
      </c>
      <c r="S11" s="4" t="s">
        <v>27</v>
      </c>
      <c r="T11" s="4" t="s">
        <v>71</v>
      </c>
      <c r="U11" s="4">
        <v>550.0</v>
      </c>
      <c r="W11" s="37"/>
      <c r="X11" s="38" t="s">
        <v>142</v>
      </c>
      <c r="Y11" s="38">
        <v>4750.0</v>
      </c>
    </row>
    <row r="12">
      <c r="A12" s="12" t="s">
        <v>23</v>
      </c>
      <c r="B12" s="21">
        <v>63084.0</v>
      </c>
      <c r="C12" s="21">
        <v>7404.0</v>
      </c>
      <c r="D12" s="21">
        <v>8389.0</v>
      </c>
      <c r="E12" s="21">
        <f t="shared" si="1"/>
        <v>15793</v>
      </c>
      <c r="F12" s="35">
        <f t="shared" si="2"/>
        <v>25.03</v>
      </c>
      <c r="G12" s="21">
        <v>32721.0</v>
      </c>
      <c r="H12" s="13">
        <f t="shared" si="3"/>
        <v>14570</v>
      </c>
      <c r="I12" s="21">
        <v>465.0</v>
      </c>
      <c r="J12" s="13">
        <f t="shared" si="4"/>
        <v>14105</v>
      </c>
      <c r="K12" s="21">
        <v>25.51</v>
      </c>
      <c r="L12" s="13">
        <f t="shared" si="5"/>
        <v>63084</v>
      </c>
      <c r="M12" s="22" t="s">
        <v>173</v>
      </c>
      <c r="O12" s="4"/>
      <c r="P12" s="4" t="s">
        <v>22</v>
      </c>
      <c r="Q12" s="4">
        <v>593.0</v>
      </c>
      <c r="S12" s="4"/>
      <c r="T12" s="4" t="s">
        <v>142</v>
      </c>
      <c r="U12" s="4">
        <v>1395.0</v>
      </c>
      <c r="W12" s="4" t="s">
        <v>110</v>
      </c>
      <c r="X12" s="4" t="s">
        <v>22</v>
      </c>
      <c r="Y12" s="4">
        <v>896.0</v>
      </c>
    </row>
    <row r="13">
      <c r="A13" s="12" t="s">
        <v>59</v>
      </c>
      <c r="B13" s="21">
        <v>64332.0</v>
      </c>
      <c r="C13" s="21">
        <v>5621.0</v>
      </c>
      <c r="D13" s="21">
        <v>6697.0</v>
      </c>
      <c r="E13" s="21">
        <f t="shared" si="1"/>
        <v>12318</v>
      </c>
      <c r="F13" s="35">
        <f t="shared" si="2"/>
        <v>19.15</v>
      </c>
      <c r="G13" s="21">
        <v>36329.0</v>
      </c>
      <c r="H13" s="13">
        <f t="shared" si="3"/>
        <v>15685</v>
      </c>
      <c r="I13" s="21">
        <v>2723.0</v>
      </c>
      <c r="J13" s="13">
        <f t="shared" si="4"/>
        <v>12962</v>
      </c>
      <c r="K13" s="21">
        <v>12.69</v>
      </c>
      <c r="L13" s="13">
        <f t="shared" si="5"/>
        <v>64332</v>
      </c>
      <c r="M13" s="22" t="s">
        <v>20</v>
      </c>
      <c r="O13" s="4" t="s">
        <v>47</v>
      </c>
      <c r="P13" s="4" t="s">
        <v>22</v>
      </c>
      <c r="Q13" s="4">
        <v>843.0</v>
      </c>
      <c r="S13" s="4" t="s">
        <v>31</v>
      </c>
      <c r="T13" s="4" t="s">
        <v>22</v>
      </c>
      <c r="U13" s="4">
        <v>1016.0</v>
      </c>
      <c r="W13" s="15"/>
      <c r="X13" s="4" t="s">
        <v>97</v>
      </c>
      <c r="Y13" s="4">
        <v>1900.0</v>
      </c>
    </row>
    <row r="14">
      <c r="A14" s="12" t="s">
        <v>70</v>
      </c>
      <c r="B14" s="21">
        <v>64109.0</v>
      </c>
      <c r="C14" s="21">
        <v>5032.0</v>
      </c>
      <c r="D14" s="21">
        <v>8518.0</v>
      </c>
      <c r="E14" s="21">
        <f t="shared" si="1"/>
        <v>13550</v>
      </c>
      <c r="F14" s="35">
        <f t="shared" si="2"/>
        <v>21.14</v>
      </c>
      <c r="G14" s="21">
        <v>32618.0</v>
      </c>
      <c r="H14" s="13">
        <f t="shared" si="3"/>
        <v>17941</v>
      </c>
      <c r="I14" s="21">
        <v>1125.0</v>
      </c>
      <c r="J14" s="13">
        <f t="shared" si="4"/>
        <v>16816</v>
      </c>
      <c r="K14" s="21">
        <v>29.87</v>
      </c>
      <c r="L14" s="13">
        <f t="shared" si="5"/>
        <v>64109</v>
      </c>
      <c r="M14" s="22" t="s">
        <v>20</v>
      </c>
      <c r="O14" s="4"/>
      <c r="P14" s="4" t="s">
        <v>124</v>
      </c>
      <c r="Q14" s="4">
        <v>150.0</v>
      </c>
      <c r="S14" s="4" t="s">
        <v>46</v>
      </c>
      <c r="T14" s="4" t="s">
        <v>22</v>
      </c>
      <c r="U14" s="4">
        <v>2504.0</v>
      </c>
      <c r="W14" s="4" t="s">
        <v>121</v>
      </c>
      <c r="X14" s="4" t="s">
        <v>22</v>
      </c>
      <c r="Y14" s="4">
        <v>1012.0</v>
      </c>
    </row>
    <row r="15">
      <c r="A15" s="12" t="s">
        <v>75</v>
      </c>
      <c r="B15" s="21">
        <v>68363.0</v>
      </c>
      <c r="C15" s="21">
        <v>3684.0</v>
      </c>
      <c r="D15" s="21">
        <v>5540.0</v>
      </c>
      <c r="E15" s="21">
        <f t="shared" si="1"/>
        <v>9224</v>
      </c>
      <c r="F15" s="35">
        <f t="shared" si="2"/>
        <v>13.49</v>
      </c>
      <c r="G15" s="21">
        <v>44208.0</v>
      </c>
      <c r="H15" s="13">
        <f t="shared" si="3"/>
        <v>14931</v>
      </c>
      <c r="I15" s="21">
        <v>1630.0</v>
      </c>
      <c r="J15" s="13">
        <f t="shared" si="4"/>
        <v>13301</v>
      </c>
      <c r="K15" s="21">
        <v>39.45</v>
      </c>
      <c r="L15" s="13">
        <f t="shared" si="5"/>
        <v>68363</v>
      </c>
      <c r="M15" s="22" t="s">
        <v>20</v>
      </c>
      <c r="O15" s="38" t="s">
        <v>52</v>
      </c>
      <c r="P15" s="38" t="s">
        <v>142</v>
      </c>
      <c r="Q15" s="38">
        <v>6000.0</v>
      </c>
      <c r="S15" s="4"/>
      <c r="T15" s="4" t="s">
        <v>177</v>
      </c>
      <c r="U15" s="4">
        <v>350.0</v>
      </c>
      <c r="W15" s="15"/>
      <c r="X15" s="4"/>
      <c r="Y15" s="4"/>
    </row>
    <row r="16">
      <c r="A16" s="12" t="s">
        <v>27</v>
      </c>
      <c r="B16" s="21">
        <v>58915.0</v>
      </c>
      <c r="C16" s="21">
        <v>4587.0</v>
      </c>
      <c r="D16" s="21">
        <v>9840.0</v>
      </c>
      <c r="E16" s="21">
        <f t="shared" si="1"/>
        <v>14427</v>
      </c>
      <c r="F16" s="35">
        <f t="shared" si="2"/>
        <v>24.49</v>
      </c>
      <c r="G16" s="21">
        <v>32179.0</v>
      </c>
      <c r="H16" s="13">
        <f t="shared" si="3"/>
        <v>12309</v>
      </c>
      <c r="I16" s="21">
        <v>1945.0</v>
      </c>
      <c r="J16" s="13">
        <f t="shared" si="4"/>
        <v>10364</v>
      </c>
      <c r="K16" s="21">
        <v>2.32</v>
      </c>
      <c r="L16" s="13">
        <f t="shared" si="5"/>
        <v>58915</v>
      </c>
      <c r="M16" s="22" t="s">
        <v>178</v>
      </c>
      <c r="O16" s="4"/>
      <c r="P16" s="4" t="s">
        <v>22</v>
      </c>
      <c r="Q16" s="4">
        <v>428.0</v>
      </c>
      <c r="S16" s="4" t="s">
        <v>51</v>
      </c>
      <c r="T16" s="4" t="s">
        <v>22</v>
      </c>
      <c r="U16" s="4">
        <v>0.0</v>
      </c>
      <c r="W16" s="4"/>
      <c r="X16" s="4"/>
      <c r="Y16" s="4"/>
    </row>
    <row r="17">
      <c r="A17" s="12" t="s">
        <v>31</v>
      </c>
      <c r="B17" s="21">
        <v>93418.0</v>
      </c>
      <c r="C17" s="21">
        <v>7238.0</v>
      </c>
      <c r="D17" s="21">
        <v>10671.0</v>
      </c>
      <c r="E17" s="21">
        <f t="shared" si="1"/>
        <v>17909</v>
      </c>
      <c r="F17" s="35">
        <f t="shared" si="2"/>
        <v>19.17</v>
      </c>
      <c r="G17" s="21">
        <v>55251.0</v>
      </c>
      <c r="H17" s="13">
        <f t="shared" si="3"/>
        <v>20258</v>
      </c>
      <c r="I17" s="21">
        <v>1016.0</v>
      </c>
      <c r="J17" s="13">
        <f t="shared" si="4"/>
        <v>19242</v>
      </c>
      <c r="K17" s="21">
        <v>119.39</v>
      </c>
      <c r="L17" s="13">
        <f t="shared" si="5"/>
        <v>93418</v>
      </c>
      <c r="M17" s="22" t="s">
        <v>20</v>
      </c>
      <c r="O17" s="15"/>
      <c r="P17" s="4" t="s">
        <v>22</v>
      </c>
      <c r="Q17" s="4">
        <v>474.0</v>
      </c>
      <c r="S17" s="4" t="s">
        <v>57</v>
      </c>
      <c r="T17" s="4" t="s">
        <v>22</v>
      </c>
      <c r="U17" s="4">
        <v>916.0</v>
      </c>
      <c r="W17" s="15"/>
      <c r="X17" s="4"/>
      <c r="Y17" s="4"/>
    </row>
    <row r="18">
      <c r="A18" s="12" t="s">
        <v>46</v>
      </c>
      <c r="B18" s="21">
        <v>107657.0</v>
      </c>
      <c r="C18" s="21">
        <v>9727.0</v>
      </c>
      <c r="D18" s="21">
        <v>15406.0</v>
      </c>
      <c r="E18" s="21">
        <f t="shared" si="1"/>
        <v>25133</v>
      </c>
      <c r="F18" s="35">
        <f t="shared" si="2"/>
        <v>23.35</v>
      </c>
      <c r="G18" s="21">
        <v>55819.0</v>
      </c>
      <c r="H18" s="21">
        <v>23851.0</v>
      </c>
      <c r="I18" s="21">
        <v>2874.0</v>
      </c>
      <c r="J18" s="21">
        <v>23851.0</v>
      </c>
      <c r="K18" s="21">
        <v>93.97</v>
      </c>
      <c r="L18" s="21">
        <v>107657.0</v>
      </c>
      <c r="M18" s="22" t="s">
        <v>178</v>
      </c>
      <c r="O18" s="15"/>
      <c r="P18" s="36" t="s">
        <v>124</v>
      </c>
      <c r="Q18" s="36">
        <v>100.0</v>
      </c>
      <c r="S18" s="15"/>
      <c r="T18" s="4" t="s">
        <v>179</v>
      </c>
      <c r="U18" s="4">
        <v>472.0</v>
      </c>
      <c r="W18" s="15"/>
      <c r="X18" s="4"/>
      <c r="Y18" s="4"/>
    </row>
    <row r="19">
      <c r="A19" s="12" t="s">
        <v>51</v>
      </c>
      <c r="B19" s="21">
        <v>38209.0</v>
      </c>
      <c r="C19" s="21">
        <v>2021.0</v>
      </c>
      <c r="D19" s="21">
        <v>5328.0</v>
      </c>
      <c r="E19" s="21">
        <f t="shared" si="1"/>
        <v>7349</v>
      </c>
      <c r="F19" s="35">
        <f t="shared" si="2"/>
        <v>19.23</v>
      </c>
      <c r="G19" s="21">
        <v>19715.0</v>
      </c>
      <c r="H19" s="13">
        <f t="shared" ref="H19:H32" si="6">(B19-E19-G19)</f>
        <v>11145</v>
      </c>
      <c r="I19" s="21">
        <v>0.0</v>
      </c>
      <c r="J19" s="13">
        <f t="shared" ref="J19:J32" si="7">sum(H19-I19)</f>
        <v>11145</v>
      </c>
      <c r="K19" s="21" t="s">
        <v>180</v>
      </c>
      <c r="L19" s="13">
        <f t="shared" ref="L19:L32" si="8">sum(C19+D19+G19+H19)</f>
        <v>38209</v>
      </c>
      <c r="M19" s="22" t="s">
        <v>181</v>
      </c>
      <c r="O19" s="15"/>
      <c r="P19" s="4" t="s">
        <v>182</v>
      </c>
      <c r="Q19" s="4">
        <v>150.0</v>
      </c>
      <c r="S19" s="4"/>
      <c r="T19" s="4" t="s">
        <v>183</v>
      </c>
      <c r="U19" s="4">
        <v>200.0</v>
      </c>
      <c r="W19" s="15"/>
      <c r="X19" s="15"/>
      <c r="Y19" s="15"/>
    </row>
    <row r="20">
      <c r="A20" s="12" t="s">
        <v>57</v>
      </c>
      <c r="B20" s="21">
        <v>52881.0</v>
      </c>
      <c r="C20" s="21">
        <v>6710.0</v>
      </c>
      <c r="D20" s="21">
        <v>7707.0</v>
      </c>
      <c r="E20" s="21">
        <f t="shared" si="1"/>
        <v>14417</v>
      </c>
      <c r="F20" s="35">
        <f t="shared" si="2"/>
        <v>27.26</v>
      </c>
      <c r="G20" s="21">
        <v>22511.0</v>
      </c>
      <c r="H20" s="13">
        <f t="shared" si="6"/>
        <v>15953</v>
      </c>
      <c r="I20" s="21">
        <v>3488.0</v>
      </c>
      <c r="J20" s="13">
        <f t="shared" si="7"/>
        <v>12465</v>
      </c>
      <c r="K20" s="21">
        <v>29.03</v>
      </c>
      <c r="L20" s="13">
        <f t="shared" si="8"/>
        <v>52881</v>
      </c>
      <c r="M20" s="22" t="s">
        <v>20</v>
      </c>
      <c r="O20" s="4" t="s">
        <v>56</v>
      </c>
      <c r="P20" s="4" t="s">
        <v>22</v>
      </c>
      <c r="Q20" s="4">
        <v>657.0</v>
      </c>
      <c r="S20" s="15"/>
      <c r="T20" s="4" t="s">
        <v>97</v>
      </c>
      <c r="U20" s="4">
        <v>1900.0</v>
      </c>
    </row>
    <row r="21">
      <c r="A21" s="12" t="s">
        <v>62</v>
      </c>
      <c r="B21" s="21">
        <v>61421.0</v>
      </c>
      <c r="C21" s="21">
        <v>3362.0</v>
      </c>
      <c r="D21" s="21">
        <v>9820.0</v>
      </c>
      <c r="E21" s="21">
        <f t="shared" si="1"/>
        <v>13182</v>
      </c>
      <c r="F21" s="35">
        <f t="shared" si="2"/>
        <v>21.46</v>
      </c>
      <c r="G21" s="21">
        <v>36062.0</v>
      </c>
      <c r="H21" s="13">
        <f t="shared" si="6"/>
        <v>12177</v>
      </c>
      <c r="I21" s="21">
        <v>2211.0</v>
      </c>
      <c r="J21" s="13">
        <f t="shared" si="7"/>
        <v>9966</v>
      </c>
      <c r="K21" s="21">
        <v>0.0</v>
      </c>
      <c r="L21" s="13">
        <f t="shared" si="8"/>
        <v>61421</v>
      </c>
      <c r="M21" s="22" t="s">
        <v>20</v>
      </c>
      <c r="O21" s="37"/>
      <c r="P21" s="38" t="s">
        <v>142</v>
      </c>
      <c r="Q21" s="38">
        <v>2496.0</v>
      </c>
      <c r="S21" s="4" t="s">
        <v>62</v>
      </c>
      <c r="T21" s="45" t="s">
        <v>186</v>
      </c>
      <c r="U21" s="4">
        <v>60.0</v>
      </c>
    </row>
    <row r="22">
      <c r="A22" s="12" t="s">
        <v>67</v>
      </c>
      <c r="B22" s="21">
        <v>53508.0</v>
      </c>
      <c r="C22" s="21">
        <v>3939.0</v>
      </c>
      <c r="D22" s="21">
        <v>8261.0</v>
      </c>
      <c r="E22" s="21">
        <f t="shared" si="1"/>
        <v>12200</v>
      </c>
      <c r="F22" s="35">
        <f t="shared" si="2"/>
        <v>22.8</v>
      </c>
      <c r="G22" s="34">
        <v>24838.0</v>
      </c>
      <c r="H22" s="13">
        <f t="shared" si="6"/>
        <v>16470</v>
      </c>
      <c r="I22" s="21">
        <v>700.0</v>
      </c>
      <c r="J22" s="13">
        <f t="shared" si="7"/>
        <v>15770</v>
      </c>
      <c r="K22" s="21">
        <v>26.73</v>
      </c>
      <c r="L22" s="13">
        <f t="shared" si="8"/>
        <v>53508</v>
      </c>
      <c r="M22" s="22" t="s">
        <v>20</v>
      </c>
      <c r="N22" s="45"/>
      <c r="O22" s="15"/>
      <c r="P22" s="4" t="s">
        <v>188</v>
      </c>
      <c r="Q22" s="4">
        <v>50.0</v>
      </c>
      <c r="S22" s="4"/>
      <c r="T22" s="4" t="s">
        <v>102</v>
      </c>
      <c r="U22" s="4">
        <v>50.0</v>
      </c>
    </row>
    <row r="23">
      <c r="A23" s="12" t="s">
        <v>74</v>
      </c>
      <c r="B23" s="21">
        <v>62174.0</v>
      </c>
      <c r="C23" s="21">
        <v>5584.0</v>
      </c>
      <c r="D23" s="21">
        <v>7560.0</v>
      </c>
      <c r="E23" s="21">
        <f t="shared" si="1"/>
        <v>13144</v>
      </c>
      <c r="F23" s="35">
        <f t="shared" si="2"/>
        <v>21.14</v>
      </c>
      <c r="G23" s="21">
        <v>30938.0</v>
      </c>
      <c r="H23" s="13">
        <f t="shared" si="6"/>
        <v>18092</v>
      </c>
      <c r="I23" s="21">
        <v>1842.0</v>
      </c>
      <c r="J23" s="13">
        <f t="shared" si="7"/>
        <v>16250</v>
      </c>
      <c r="K23" s="21">
        <v>25.66</v>
      </c>
      <c r="L23" s="13">
        <f t="shared" si="8"/>
        <v>62174</v>
      </c>
      <c r="M23" s="22" t="s">
        <v>20</v>
      </c>
      <c r="O23" s="4"/>
      <c r="P23" s="4" t="s">
        <v>22</v>
      </c>
      <c r="Q23" s="4">
        <v>98.0</v>
      </c>
      <c r="S23" s="15"/>
      <c r="T23" s="4" t="s">
        <v>22</v>
      </c>
      <c r="U23" s="4">
        <v>2101.0</v>
      </c>
    </row>
    <row r="24">
      <c r="A24" s="12" t="s">
        <v>77</v>
      </c>
      <c r="B24" s="21">
        <v>71400.0</v>
      </c>
      <c r="C24" s="21">
        <v>5356.0</v>
      </c>
      <c r="D24" s="21">
        <v>7046.0</v>
      </c>
      <c r="E24" s="21">
        <f t="shared" si="1"/>
        <v>12402</v>
      </c>
      <c r="F24" s="35">
        <f t="shared" si="2"/>
        <v>17.37</v>
      </c>
      <c r="G24" s="21">
        <v>43197.0</v>
      </c>
      <c r="H24" s="13">
        <f t="shared" si="6"/>
        <v>15801</v>
      </c>
      <c r="I24" s="21">
        <v>3312.0</v>
      </c>
      <c r="J24" s="13">
        <f t="shared" si="7"/>
        <v>12489</v>
      </c>
      <c r="K24" s="21">
        <v>84.47</v>
      </c>
      <c r="L24" s="13">
        <f t="shared" si="8"/>
        <v>71400</v>
      </c>
      <c r="M24" s="22" t="s">
        <v>20</v>
      </c>
      <c r="O24" s="15"/>
      <c r="P24" s="36" t="s">
        <v>191</v>
      </c>
      <c r="Q24" s="36">
        <v>150.0</v>
      </c>
      <c r="S24" s="4" t="s">
        <v>67</v>
      </c>
      <c r="T24" s="4" t="s">
        <v>192</v>
      </c>
      <c r="U24" s="4">
        <v>350.0</v>
      </c>
    </row>
    <row r="25">
      <c r="A25" s="12" t="s">
        <v>88</v>
      </c>
      <c r="B25" s="21">
        <v>94686.0</v>
      </c>
      <c r="C25" s="21">
        <v>6005.0</v>
      </c>
      <c r="D25" s="21">
        <v>12026.0</v>
      </c>
      <c r="E25" s="21">
        <f t="shared" si="1"/>
        <v>18031</v>
      </c>
      <c r="F25" s="35">
        <f t="shared" si="2"/>
        <v>19.04</v>
      </c>
      <c r="G25" s="21">
        <v>56670.0</v>
      </c>
      <c r="H25" s="13">
        <f t="shared" si="6"/>
        <v>19985</v>
      </c>
      <c r="I25" s="21">
        <v>1100.0</v>
      </c>
      <c r="J25" s="13">
        <f t="shared" si="7"/>
        <v>18885</v>
      </c>
      <c r="K25" s="21">
        <v>76.53</v>
      </c>
      <c r="L25" s="13">
        <f t="shared" si="8"/>
        <v>94686</v>
      </c>
      <c r="M25" s="22" t="s">
        <v>20</v>
      </c>
      <c r="O25" s="4" t="s">
        <v>60</v>
      </c>
      <c r="P25" s="4" t="s">
        <v>22</v>
      </c>
      <c r="Q25" s="4">
        <v>251.0</v>
      </c>
      <c r="S25" s="15"/>
      <c r="T25" s="4" t="s">
        <v>195</v>
      </c>
      <c r="U25" s="4">
        <v>350.0</v>
      </c>
    </row>
    <row r="26">
      <c r="A26" s="12" t="s">
        <v>98</v>
      </c>
      <c r="B26" s="21">
        <v>43916.0</v>
      </c>
      <c r="C26" s="21">
        <v>2697.0</v>
      </c>
      <c r="D26" s="21">
        <v>1122.0</v>
      </c>
      <c r="E26" s="21">
        <f t="shared" si="1"/>
        <v>3819</v>
      </c>
      <c r="F26" s="35">
        <f t="shared" si="2"/>
        <v>8.7</v>
      </c>
      <c r="G26" s="21">
        <v>25133.0</v>
      </c>
      <c r="H26" s="13">
        <f t="shared" si="6"/>
        <v>14964</v>
      </c>
      <c r="I26" s="21">
        <v>0.0</v>
      </c>
      <c r="J26" s="13">
        <f t="shared" si="7"/>
        <v>14964</v>
      </c>
      <c r="K26" s="21">
        <v>54.93</v>
      </c>
      <c r="L26" s="13">
        <f t="shared" si="8"/>
        <v>43916</v>
      </c>
      <c r="M26" s="22" t="s">
        <v>20</v>
      </c>
      <c r="O26" s="4" t="s">
        <v>64</v>
      </c>
      <c r="P26" s="4" t="s">
        <v>197</v>
      </c>
      <c r="Q26" s="4">
        <v>500.0</v>
      </c>
      <c r="S26" s="4" t="s">
        <v>74</v>
      </c>
      <c r="T26" s="4" t="s">
        <v>22</v>
      </c>
      <c r="U26" s="4">
        <v>590.0</v>
      </c>
    </row>
    <row r="27">
      <c r="A27" s="12" t="s">
        <v>25</v>
      </c>
      <c r="B27" s="21">
        <v>40447.0</v>
      </c>
      <c r="C27" s="21">
        <v>6144.0</v>
      </c>
      <c r="D27" s="21">
        <v>3122.0</v>
      </c>
      <c r="E27" s="21">
        <f t="shared" si="1"/>
        <v>9266</v>
      </c>
      <c r="F27" s="35">
        <f t="shared" si="2"/>
        <v>22.91</v>
      </c>
      <c r="G27" s="21">
        <v>22809.0</v>
      </c>
      <c r="H27" s="13">
        <f t="shared" si="6"/>
        <v>8372</v>
      </c>
      <c r="I27" s="21">
        <v>1302.0</v>
      </c>
      <c r="J27" s="13">
        <f t="shared" si="7"/>
        <v>7070</v>
      </c>
      <c r="K27" s="21">
        <v>45.33</v>
      </c>
      <c r="L27" s="13">
        <f t="shared" si="8"/>
        <v>40447</v>
      </c>
      <c r="M27" s="22" t="s">
        <v>20</v>
      </c>
      <c r="O27" s="4"/>
      <c r="P27" s="4" t="s">
        <v>22</v>
      </c>
      <c r="Q27" s="4">
        <v>702.0</v>
      </c>
      <c r="S27" s="4"/>
      <c r="T27" s="45" t="s">
        <v>142</v>
      </c>
      <c r="U27" s="45">
        <v>1152.0</v>
      </c>
    </row>
    <row r="28">
      <c r="A28" s="12" t="s">
        <v>49</v>
      </c>
      <c r="B28" s="21">
        <v>46394.0</v>
      </c>
      <c r="C28" s="21">
        <v>5280.0</v>
      </c>
      <c r="D28" s="21">
        <v>5821.0</v>
      </c>
      <c r="E28" s="21">
        <f t="shared" si="1"/>
        <v>11101</v>
      </c>
      <c r="F28" s="35">
        <f t="shared" si="2"/>
        <v>23.93</v>
      </c>
      <c r="G28" s="21">
        <v>21866.0</v>
      </c>
      <c r="H28" s="13">
        <f t="shared" si="6"/>
        <v>13427</v>
      </c>
      <c r="I28" s="21">
        <v>5381.0</v>
      </c>
      <c r="J28" s="13">
        <f t="shared" si="7"/>
        <v>8046</v>
      </c>
      <c r="K28" s="21">
        <v>48.98</v>
      </c>
      <c r="L28" s="13">
        <f t="shared" si="8"/>
        <v>46394</v>
      </c>
      <c r="M28" s="22" t="s">
        <v>20</v>
      </c>
      <c r="O28" s="15"/>
      <c r="P28" s="4" t="s">
        <v>48</v>
      </c>
      <c r="Q28" s="4">
        <v>1500.0</v>
      </c>
      <c r="S28" s="15"/>
      <c r="T28" s="4" t="s">
        <v>198</v>
      </c>
      <c r="U28" s="4">
        <v>50.0</v>
      </c>
    </row>
    <row r="29">
      <c r="A29" s="12" t="s">
        <v>65</v>
      </c>
      <c r="B29" s="21">
        <v>98251.0</v>
      </c>
      <c r="C29" s="21">
        <v>8188.0</v>
      </c>
      <c r="D29" s="21">
        <v>6426.0</v>
      </c>
      <c r="E29" s="21">
        <f t="shared" si="1"/>
        <v>14614</v>
      </c>
      <c r="F29" s="35">
        <f t="shared" si="2"/>
        <v>14.87</v>
      </c>
      <c r="G29" s="21">
        <v>65078.0</v>
      </c>
      <c r="H29" s="13">
        <f t="shared" si="6"/>
        <v>18559</v>
      </c>
      <c r="I29" s="21">
        <v>0.0</v>
      </c>
      <c r="J29" s="13">
        <f t="shared" si="7"/>
        <v>18559</v>
      </c>
      <c r="K29" s="21">
        <v>68.65</v>
      </c>
      <c r="L29" s="13">
        <f t="shared" si="8"/>
        <v>98251</v>
      </c>
      <c r="M29" s="22" t="s">
        <v>20</v>
      </c>
      <c r="O29" s="15"/>
      <c r="P29" s="4" t="s">
        <v>22</v>
      </c>
      <c r="Q29" s="4">
        <v>431.0</v>
      </c>
      <c r="S29" s="15"/>
      <c r="T29" s="4" t="s">
        <v>199</v>
      </c>
      <c r="U29" s="4">
        <v>50.0</v>
      </c>
    </row>
    <row r="30">
      <c r="A30" s="22" t="s">
        <v>101</v>
      </c>
      <c r="B30" s="21">
        <v>58440.0</v>
      </c>
      <c r="C30" s="21">
        <v>6042.0</v>
      </c>
      <c r="D30" s="21">
        <v>7043.0</v>
      </c>
      <c r="E30" s="21">
        <f t="shared" si="1"/>
        <v>13085</v>
      </c>
      <c r="F30" s="35">
        <f t="shared" si="2"/>
        <v>22.39</v>
      </c>
      <c r="G30" s="21">
        <v>33800.0</v>
      </c>
      <c r="H30" s="13">
        <f t="shared" si="6"/>
        <v>11555</v>
      </c>
      <c r="I30" s="21">
        <v>5657.0</v>
      </c>
      <c r="J30" s="13">
        <f t="shared" si="7"/>
        <v>5898</v>
      </c>
      <c r="K30" s="21">
        <v>19.37</v>
      </c>
      <c r="L30" s="13">
        <f t="shared" si="8"/>
        <v>58440</v>
      </c>
      <c r="M30" s="22" t="s">
        <v>20</v>
      </c>
      <c r="O30" s="4"/>
      <c r="P30" s="4" t="s">
        <v>97</v>
      </c>
      <c r="Q30" s="4">
        <v>1900.0</v>
      </c>
      <c r="S30" s="4" t="s">
        <v>77</v>
      </c>
      <c r="T30" s="4" t="s">
        <v>192</v>
      </c>
      <c r="U30" s="4">
        <v>350.0</v>
      </c>
    </row>
    <row r="31">
      <c r="A31" s="22" t="s">
        <v>110</v>
      </c>
      <c r="B31" s="21">
        <v>54364.0</v>
      </c>
      <c r="C31" s="21">
        <v>1992.0</v>
      </c>
      <c r="D31" s="21">
        <v>7405.0</v>
      </c>
      <c r="E31" s="21">
        <f t="shared" si="1"/>
        <v>9397</v>
      </c>
      <c r="F31" s="35">
        <f t="shared" si="2"/>
        <v>17.29</v>
      </c>
      <c r="G31" s="21">
        <v>31053.0</v>
      </c>
      <c r="H31" s="13">
        <f t="shared" si="6"/>
        <v>13914</v>
      </c>
      <c r="I31" s="21">
        <v>2796.0</v>
      </c>
      <c r="J31" s="13">
        <f t="shared" si="7"/>
        <v>11118</v>
      </c>
      <c r="K31" s="21">
        <v>43.14</v>
      </c>
      <c r="L31" s="13">
        <f t="shared" si="8"/>
        <v>54364</v>
      </c>
      <c r="M31" s="22" t="s">
        <v>20</v>
      </c>
      <c r="O31" s="4" t="s">
        <v>68</v>
      </c>
      <c r="P31" s="4" t="s">
        <v>22</v>
      </c>
      <c r="Q31" s="4">
        <v>599.0</v>
      </c>
      <c r="S31" s="15"/>
      <c r="T31" s="4" t="s">
        <v>200</v>
      </c>
      <c r="U31" s="4">
        <v>525.0</v>
      </c>
    </row>
    <row r="32">
      <c r="A32" s="22" t="s">
        <v>121</v>
      </c>
      <c r="B32" s="21">
        <v>93226.0</v>
      </c>
      <c r="C32" s="21">
        <v>12817.0</v>
      </c>
      <c r="D32" s="21">
        <v>15301.0</v>
      </c>
      <c r="E32" s="21">
        <f t="shared" si="1"/>
        <v>28118</v>
      </c>
      <c r="F32" s="35">
        <f t="shared" si="2"/>
        <v>30.16</v>
      </c>
      <c r="G32" s="21">
        <v>45589.0</v>
      </c>
      <c r="H32" s="13">
        <f t="shared" si="6"/>
        <v>19519</v>
      </c>
      <c r="I32" s="48">
        <v>1012.0</v>
      </c>
      <c r="J32" s="13">
        <f t="shared" si="7"/>
        <v>18507</v>
      </c>
      <c r="K32" s="21">
        <v>38.74</v>
      </c>
      <c r="L32" s="13">
        <f t="shared" si="8"/>
        <v>93226</v>
      </c>
      <c r="M32" s="22" t="s">
        <v>20</v>
      </c>
      <c r="O32" s="15"/>
      <c r="P32" s="4" t="s">
        <v>22</v>
      </c>
      <c r="Q32" s="4">
        <v>970.0</v>
      </c>
      <c r="S32" s="15"/>
      <c r="T32" s="4" t="s">
        <v>22</v>
      </c>
      <c r="U32" s="4">
        <v>915.0</v>
      </c>
    </row>
    <row r="33">
      <c r="A33" s="28"/>
      <c r="B33" s="29">
        <f t="shared" ref="B33:C33" si="9">SUM(B2:B32)</f>
        <v>2268248</v>
      </c>
      <c r="C33" s="29">
        <f t="shared" si="9"/>
        <v>205974</v>
      </c>
      <c r="D33" s="29">
        <f>sum(D2:D32)</f>
        <v>296089</v>
      </c>
      <c r="E33" s="29">
        <f>sum(E2:E31)</f>
        <v>473945</v>
      </c>
      <c r="F33" s="29">
        <f t="shared" si="2"/>
        <v>20.89</v>
      </c>
      <c r="G33" s="29">
        <f t="shared" ref="G33:K33" si="10">SUM(G2:G29)</f>
        <v>1120864</v>
      </c>
      <c r="H33" s="29">
        <f t="shared" si="10"/>
        <v>487037</v>
      </c>
      <c r="I33" s="29">
        <f t="shared" si="10"/>
        <v>70275</v>
      </c>
      <c r="J33" s="29">
        <f t="shared" si="10"/>
        <v>419636</v>
      </c>
      <c r="K33" s="29">
        <f t="shared" si="10"/>
        <v>1195.93</v>
      </c>
      <c r="L33" s="29">
        <f>SUM(L2:L31)</f>
        <v>2175022</v>
      </c>
      <c r="M33" s="29"/>
      <c r="O33" s="4"/>
      <c r="P33" s="4" t="s">
        <v>140</v>
      </c>
      <c r="Q33" s="4">
        <v>1280.0</v>
      </c>
      <c r="S33" s="15"/>
      <c r="T33" s="4" t="s">
        <v>142</v>
      </c>
      <c r="U33" s="4">
        <v>1522.0</v>
      </c>
    </row>
    <row r="34">
      <c r="O34" s="15"/>
      <c r="P34" s="4" t="s">
        <v>89</v>
      </c>
      <c r="Q34" s="4">
        <v>50.0</v>
      </c>
      <c r="S34" s="4" t="s">
        <v>88</v>
      </c>
      <c r="T34" s="4" t="s">
        <v>22</v>
      </c>
      <c r="U34" s="4">
        <v>1100.0</v>
      </c>
    </row>
    <row r="35">
      <c r="O35" s="37"/>
      <c r="P35" s="38" t="s">
        <v>206</v>
      </c>
      <c r="Q35" s="38">
        <v>450.0</v>
      </c>
    </row>
    <row r="36">
      <c r="O36" s="37"/>
      <c r="P36" s="38" t="s">
        <v>142</v>
      </c>
      <c r="Q36" s="38">
        <v>5760.0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75"/>
    <col customWidth="1" min="3" max="3" width="7.5"/>
    <col customWidth="1" min="4" max="4" width="7.75"/>
    <col customWidth="1" min="5" max="5" width="14.75"/>
    <col customWidth="1" min="6" max="6" width="17.63"/>
    <col customWidth="1" min="7" max="8" width="7.63"/>
    <col customWidth="1" min="9" max="9" width="9.75"/>
    <col customWidth="1" min="10" max="10" width="14.5"/>
    <col customWidth="1" min="11" max="11" width="8.5"/>
    <col customWidth="1" min="12" max="12" width="8.75"/>
    <col customWidth="1" min="13" max="13" width="10.63"/>
    <col customWidth="1" min="14" max="14" width="12.63"/>
    <col customWidth="1" min="15" max="15" width="5.25"/>
    <col customWidth="1" min="16" max="16" width="11.5"/>
    <col customWidth="1" min="17" max="17" width="7.88"/>
    <col customWidth="1" min="18" max="18" width="12.63"/>
    <col customWidth="1" min="19" max="19" width="5.25"/>
    <col customWidth="1" min="20" max="20" width="18.13"/>
    <col customWidth="1" min="21" max="21" width="7.88"/>
    <col customWidth="1" min="22" max="22" width="12.63"/>
    <col customWidth="1" min="23" max="23" width="5.25"/>
    <col customWidth="1" min="24" max="24" width="10.88"/>
    <col customWidth="1" min="25" max="25" width="7.88"/>
    <col customWidth="1" min="26" max="29" width="12.63"/>
  </cols>
  <sheetData>
    <row r="1">
      <c r="A1" s="3" t="s">
        <v>1</v>
      </c>
      <c r="B1" s="3" t="s">
        <v>5</v>
      </c>
      <c r="C1" s="27" t="s">
        <v>114</v>
      </c>
      <c r="D1" s="27" t="s">
        <v>115</v>
      </c>
      <c r="E1" s="27" t="s">
        <v>6</v>
      </c>
      <c r="F1" s="27" t="s">
        <v>118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O1" s="8" t="s">
        <v>1</v>
      </c>
      <c r="P1" s="8" t="s">
        <v>14</v>
      </c>
      <c r="Q1" s="8" t="s">
        <v>15</v>
      </c>
      <c r="S1" s="8" t="s">
        <v>1</v>
      </c>
      <c r="T1" s="8" t="s">
        <v>14</v>
      </c>
      <c r="U1" s="8" t="s">
        <v>15</v>
      </c>
      <c r="W1" s="8" t="s">
        <v>1</v>
      </c>
      <c r="X1" s="8" t="s">
        <v>14</v>
      </c>
      <c r="Y1" s="8" t="s">
        <v>15</v>
      </c>
      <c r="AA1" s="8" t="s">
        <v>1</v>
      </c>
      <c r="AB1" s="8" t="s">
        <v>14</v>
      </c>
      <c r="AC1" s="8" t="s">
        <v>15</v>
      </c>
    </row>
    <row r="2">
      <c r="A2" s="12" t="s">
        <v>16</v>
      </c>
      <c r="B2" s="21">
        <v>38041.0</v>
      </c>
      <c r="C2" s="21">
        <v>3454.0</v>
      </c>
      <c r="D2" s="21">
        <v>3494.0</v>
      </c>
      <c r="E2" s="21">
        <f t="shared" ref="E2:E31" si="1">sum(C2:D2)</f>
        <v>6948</v>
      </c>
      <c r="F2" s="35">
        <f t="shared" ref="F2:F32" si="2">if((E2&gt;0),round((E2/B2)*100, 2) , 0)</f>
        <v>18.26</v>
      </c>
      <c r="G2" s="21">
        <v>23177.0</v>
      </c>
      <c r="H2" s="13">
        <f t="shared" ref="H2:H31" si="3">(B2-E2-G2)</f>
        <v>7916</v>
      </c>
      <c r="I2" s="21">
        <v>1037.0</v>
      </c>
      <c r="J2" s="13">
        <f t="shared" ref="J2:J31" si="4">sum(H2-I2)</f>
        <v>6879</v>
      </c>
      <c r="K2" s="21">
        <v>28.35</v>
      </c>
      <c r="L2" s="13">
        <f t="shared" ref="L2:L31" si="5">sum(C2+D2+G2+H2)</f>
        <v>38041</v>
      </c>
      <c r="M2" s="22" t="s">
        <v>20</v>
      </c>
      <c r="O2" s="39" t="s">
        <v>16</v>
      </c>
      <c r="P2" s="39" t="s">
        <v>38</v>
      </c>
      <c r="Q2" s="21">
        <v>450.0</v>
      </c>
      <c r="S2" s="39" t="s">
        <v>68</v>
      </c>
      <c r="T2" s="40" t="s">
        <v>97</v>
      </c>
      <c r="U2" s="40">
        <v>2000.0</v>
      </c>
      <c r="W2" s="40" t="s">
        <v>57</v>
      </c>
      <c r="X2" s="41" t="s">
        <v>122</v>
      </c>
      <c r="Y2" s="40">
        <v>305.0</v>
      </c>
      <c r="AA2" s="40" t="s">
        <v>65</v>
      </c>
      <c r="AB2" s="41" t="s">
        <v>174</v>
      </c>
      <c r="AC2" s="40">
        <v>60.0</v>
      </c>
    </row>
    <row r="3">
      <c r="A3" s="22" t="s">
        <v>28</v>
      </c>
      <c r="B3" s="21">
        <v>38323.0</v>
      </c>
      <c r="C3" s="21">
        <v>2912.0</v>
      </c>
      <c r="D3" s="21">
        <v>4031.0</v>
      </c>
      <c r="E3" s="21">
        <f t="shared" si="1"/>
        <v>6943</v>
      </c>
      <c r="F3" s="35">
        <f t="shared" si="2"/>
        <v>18.12</v>
      </c>
      <c r="G3" s="21">
        <v>22444.0</v>
      </c>
      <c r="H3" s="13">
        <f t="shared" si="3"/>
        <v>8936</v>
      </c>
      <c r="I3" s="21">
        <v>5343.0</v>
      </c>
      <c r="J3" s="13">
        <f t="shared" si="4"/>
        <v>3593</v>
      </c>
      <c r="K3" s="21">
        <v>26.52</v>
      </c>
      <c r="L3" s="13">
        <f t="shared" si="5"/>
        <v>38323</v>
      </c>
      <c r="M3" s="22" t="s">
        <v>20</v>
      </c>
      <c r="O3" s="40"/>
      <c r="P3" s="40" t="s">
        <v>104</v>
      </c>
      <c r="Q3" s="40">
        <v>100.0</v>
      </c>
      <c r="S3" s="40" t="s">
        <v>23</v>
      </c>
      <c r="T3" s="40" t="s">
        <v>38</v>
      </c>
      <c r="U3" s="40">
        <v>400.0</v>
      </c>
      <c r="W3" s="40"/>
      <c r="X3" s="41" t="s">
        <v>138</v>
      </c>
      <c r="Y3" s="40">
        <v>51.0</v>
      </c>
      <c r="AA3" s="40"/>
      <c r="AB3" s="41" t="s">
        <v>175</v>
      </c>
      <c r="AC3" s="40">
        <v>10.0</v>
      </c>
    </row>
    <row r="4">
      <c r="A4" s="22" t="s">
        <v>33</v>
      </c>
      <c r="B4" s="21">
        <v>39421.0</v>
      </c>
      <c r="C4" s="21">
        <v>4040.0</v>
      </c>
      <c r="D4" s="21">
        <v>6387.0</v>
      </c>
      <c r="E4" s="21">
        <f t="shared" si="1"/>
        <v>10427</v>
      </c>
      <c r="F4" s="35">
        <f t="shared" si="2"/>
        <v>26.45</v>
      </c>
      <c r="G4" s="21">
        <v>21915.0</v>
      </c>
      <c r="H4" s="13">
        <f t="shared" si="3"/>
        <v>7079</v>
      </c>
      <c r="I4" s="21">
        <v>729.0</v>
      </c>
      <c r="J4" s="13">
        <f t="shared" si="4"/>
        <v>6350</v>
      </c>
      <c r="K4" s="21">
        <v>95.75</v>
      </c>
      <c r="L4" s="13">
        <f t="shared" si="5"/>
        <v>39421</v>
      </c>
      <c r="M4" s="22" t="s">
        <v>20</v>
      </c>
      <c r="O4" s="40"/>
      <c r="P4" s="40" t="s">
        <v>128</v>
      </c>
      <c r="Q4" s="40">
        <v>150.0</v>
      </c>
      <c r="S4" s="40" t="s">
        <v>59</v>
      </c>
      <c r="T4" s="40" t="s">
        <v>39</v>
      </c>
      <c r="U4" s="40">
        <v>10.0</v>
      </c>
      <c r="W4" s="42"/>
      <c r="X4" s="43" t="s">
        <v>176</v>
      </c>
      <c r="Y4" s="40">
        <v>152.0</v>
      </c>
      <c r="AA4" s="42"/>
      <c r="AB4" s="41" t="s">
        <v>122</v>
      </c>
      <c r="AC4" s="40">
        <v>241.0</v>
      </c>
    </row>
    <row r="5">
      <c r="A5" s="12" t="s">
        <v>40</v>
      </c>
      <c r="B5" s="21">
        <v>37860.0</v>
      </c>
      <c r="C5" s="21">
        <v>2967.0</v>
      </c>
      <c r="D5" s="21">
        <v>6666.0</v>
      </c>
      <c r="E5" s="21">
        <f t="shared" si="1"/>
        <v>9633</v>
      </c>
      <c r="F5" s="35">
        <f t="shared" si="2"/>
        <v>25.44</v>
      </c>
      <c r="G5" s="21">
        <v>18810.0</v>
      </c>
      <c r="H5" s="13">
        <f t="shared" si="3"/>
        <v>9417</v>
      </c>
      <c r="I5" s="21">
        <v>9025.0</v>
      </c>
      <c r="J5" s="13">
        <f t="shared" si="4"/>
        <v>392</v>
      </c>
      <c r="K5" s="21">
        <v>8.78</v>
      </c>
      <c r="L5" s="13">
        <f t="shared" si="5"/>
        <v>37860</v>
      </c>
      <c r="M5" s="22" t="s">
        <v>20</v>
      </c>
      <c r="O5" s="42"/>
      <c r="P5" s="40" t="s">
        <v>22</v>
      </c>
      <c r="Q5" s="40">
        <v>337.0</v>
      </c>
      <c r="S5" s="42"/>
      <c r="T5" s="40" t="s">
        <v>122</v>
      </c>
      <c r="U5" s="40">
        <v>544.0</v>
      </c>
      <c r="W5" s="40"/>
      <c r="X5" s="44" t="s">
        <v>54</v>
      </c>
      <c r="Y5" s="40">
        <v>8.0</v>
      </c>
      <c r="AA5" s="40"/>
      <c r="AB5" s="41" t="s">
        <v>176</v>
      </c>
      <c r="AC5" s="40">
        <v>180.0</v>
      </c>
    </row>
    <row r="6">
      <c r="A6" s="12" t="s">
        <v>47</v>
      </c>
      <c r="B6" s="21">
        <v>56277.0</v>
      </c>
      <c r="C6" s="21">
        <v>830.0</v>
      </c>
      <c r="D6" s="21">
        <v>5878.0</v>
      </c>
      <c r="E6" s="21">
        <f t="shared" si="1"/>
        <v>6708</v>
      </c>
      <c r="F6" s="35">
        <f t="shared" si="2"/>
        <v>11.92</v>
      </c>
      <c r="G6" s="21">
        <v>37698.0</v>
      </c>
      <c r="H6" s="13">
        <f t="shared" si="3"/>
        <v>11871</v>
      </c>
      <c r="I6" s="21">
        <v>350.0</v>
      </c>
      <c r="J6" s="13">
        <f t="shared" si="4"/>
        <v>11521</v>
      </c>
      <c r="K6" s="21">
        <v>16.65</v>
      </c>
      <c r="L6" s="13">
        <f t="shared" si="5"/>
        <v>56277</v>
      </c>
      <c r="M6" s="22" t="s">
        <v>20</v>
      </c>
      <c r="O6" s="40" t="s">
        <v>28</v>
      </c>
      <c r="P6" s="40" t="s">
        <v>138</v>
      </c>
      <c r="Q6" s="40">
        <v>68.0</v>
      </c>
      <c r="S6" s="40"/>
      <c r="T6" s="40" t="s">
        <v>176</v>
      </c>
      <c r="U6" s="40">
        <v>255.0</v>
      </c>
      <c r="W6" s="40"/>
      <c r="X6" s="40" t="s">
        <v>142</v>
      </c>
      <c r="Y6" s="40">
        <v>4760.0</v>
      </c>
      <c r="AA6" s="40"/>
      <c r="AB6" s="40" t="s">
        <v>138</v>
      </c>
      <c r="AC6" s="40">
        <v>88.0</v>
      </c>
    </row>
    <row r="7">
      <c r="A7" s="12" t="s">
        <v>52</v>
      </c>
      <c r="B7" s="21">
        <v>59213.0</v>
      </c>
      <c r="C7" s="21">
        <v>5115.0</v>
      </c>
      <c r="D7" s="21">
        <v>10398.0</v>
      </c>
      <c r="E7" s="21">
        <f t="shared" si="1"/>
        <v>15513</v>
      </c>
      <c r="F7" s="35">
        <f t="shared" si="2"/>
        <v>26.2</v>
      </c>
      <c r="G7" s="21">
        <v>34825.0</v>
      </c>
      <c r="H7" s="13">
        <f t="shared" si="3"/>
        <v>8875</v>
      </c>
      <c r="I7" s="21">
        <v>400.0</v>
      </c>
      <c r="J7" s="13">
        <f t="shared" si="4"/>
        <v>8475</v>
      </c>
      <c r="K7" s="21">
        <v>26.9</v>
      </c>
      <c r="L7" s="13">
        <f t="shared" si="5"/>
        <v>59213</v>
      </c>
      <c r="M7" s="22" t="s">
        <v>20</v>
      </c>
      <c r="O7" s="40"/>
      <c r="P7" s="40" t="s">
        <v>54</v>
      </c>
      <c r="Q7" s="40">
        <v>6.0</v>
      </c>
      <c r="S7" s="40"/>
      <c r="T7" s="40" t="s">
        <v>138</v>
      </c>
      <c r="U7" s="40">
        <v>91.0</v>
      </c>
      <c r="W7" s="42"/>
      <c r="X7" s="40" t="s">
        <v>128</v>
      </c>
      <c r="Y7" s="40">
        <v>50.0</v>
      </c>
      <c r="AA7" s="40" t="s">
        <v>101</v>
      </c>
      <c r="AB7" s="40" t="s">
        <v>138</v>
      </c>
      <c r="AC7" s="40">
        <v>107.0</v>
      </c>
    </row>
    <row r="8">
      <c r="A8" s="12" t="s">
        <v>56</v>
      </c>
      <c r="B8" s="21">
        <v>70787.0</v>
      </c>
      <c r="C8" s="21">
        <v>5667.0</v>
      </c>
      <c r="D8" s="21">
        <v>9876.0</v>
      </c>
      <c r="E8" s="21">
        <f t="shared" si="1"/>
        <v>15543</v>
      </c>
      <c r="F8" s="35">
        <f t="shared" si="2"/>
        <v>21.96</v>
      </c>
      <c r="G8" s="21">
        <v>33324.0</v>
      </c>
      <c r="H8" s="13">
        <f t="shared" si="3"/>
        <v>21920</v>
      </c>
      <c r="I8" s="21">
        <v>2716.0</v>
      </c>
      <c r="J8" s="13">
        <f t="shared" si="4"/>
        <v>19204</v>
      </c>
      <c r="K8" s="21">
        <v>0.0</v>
      </c>
      <c r="L8" s="13">
        <f t="shared" si="5"/>
        <v>70787</v>
      </c>
      <c r="M8" s="22" t="s">
        <v>20</v>
      </c>
      <c r="O8" s="40"/>
      <c r="P8" s="40" t="s">
        <v>122</v>
      </c>
      <c r="Q8" s="40">
        <v>275.0</v>
      </c>
      <c r="S8" s="40"/>
      <c r="T8" s="40" t="s">
        <v>54</v>
      </c>
      <c r="U8" s="40">
        <v>8.0</v>
      </c>
      <c r="W8" s="40" t="s">
        <v>62</v>
      </c>
      <c r="X8" s="40" t="s">
        <v>122</v>
      </c>
      <c r="Y8" s="40">
        <v>361.0</v>
      </c>
      <c r="AA8" s="40"/>
      <c r="AB8" s="40" t="s">
        <v>54</v>
      </c>
      <c r="AC8" s="40">
        <v>8.0</v>
      </c>
    </row>
    <row r="9">
      <c r="A9" s="12" t="s">
        <v>60</v>
      </c>
      <c r="B9" s="21">
        <v>42179.0</v>
      </c>
      <c r="C9" s="21">
        <v>5377.0</v>
      </c>
      <c r="D9" s="21">
        <v>2934.0</v>
      </c>
      <c r="E9" s="21">
        <f t="shared" si="1"/>
        <v>8311</v>
      </c>
      <c r="F9" s="35">
        <f t="shared" si="2"/>
        <v>19.7</v>
      </c>
      <c r="G9" s="21">
        <v>24580.0</v>
      </c>
      <c r="H9" s="13">
        <f t="shared" si="3"/>
        <v>9288</v>
      </c>
      <c r="I9" s="21">
        <v>710.0</v>
      </c>
      <c r="J9" s="13">
        <f t="shared" si="4"/>
        <v>8578</v>
      </c>
      <c r="K9" s="21">
        <v>88.84</v>
      </c>
      <c r="L9" s="13">
        <f t="shared" si="5"/>
        <v>42179</v>
      </c>
      <c r="M9" s="22" t="s">
        <v>20</v>
      </c>
      <c r="O9" s="42"/>
      <c r="P9" s="40" t="s">
        <v>176</v>
      </c>
      <c r="Q9" s="40">
        <v>134.0</v>
      </c>
      <c r="S9" s="40"/>
      <c r="T9" s="40" t="s">
        <v>142</v>
      </c>
      <c r="U9" s="40">
        <v>4250.0</v>
      </c>
      <c r="W9" s="40"/>
      <c r="X9" s="40" t="s">
        <v>176</v>
      </c>
      <c r="Y9" s="40">
        <v>303.0</v>
      </c>
      <c r="AA9" s="40"/>
      <c r="AB9" s="40" t="s">
        <v>176</v>
      </c>
      <c r="AC9" s="40">
        <v>275.0</v>
      </c>
    </row>
    <row r="10">
      <c r="A10" s="12" t="s">
        <v>64</v>
      </c>
      <c r="B10" s="21">
        <v>44905.0</v>
      </c>
      <c r="C10" s="21">
        <v>2500.0</v>
      </c>
      <c r="D10" s="21">
        <v>8835.0</v>
      </c>
      <c r="E10" s="21">
        <f t="shared" si="1"/>
        <v>11335</v>
      </c>
      <c r="F10" s="35">
        <f t="shared" si="2"/>
        <v>25.24</v>
      </c>
      <c r="G10" s="21">
        <v>22720.0</v>
      </c>
      <c r="H10" s="13">
        <f t="shared" si="3"/>
        <v>10850</v>
      </c>
      <c r="I10" s="21">
        <v>5386.0</v>
      </c>
      <c r="J10" s="13">
        <f t="shared" si="4"/>
        <v>5464</v>
      </c>
      <c r="K10" s="21">
        <v>24.66</v>
      </c>
      <c r="L10" s="13">
        <f t="shared" si="5"/>
        <v>44905</v>
      </c>
      <c r="M10" s="22" t="s">
        <v>20</v>
      </c>
      <c r="O10" s="42"/>
      <c r="P10" s="40" t="s">
        <v>142</v>
      </c>
      <c r="Q10" s="40">
        <v>4860.0</v>
      </c>
      <c r="S10" s="40"/>
      <c r="T10" s="40" t="s">
        <v>38</v>
      </c>
      <c r="U10" s="40">
        <v>400.0</v>
      </c>
      <c r="W10" s="40" t="s">
        <v>67</v>
      </c>
      <c r="X10" s="40" t="s">
        <v>176</v>
      </c>
      <c r="Y10" s="40">
        <v>261.0</v>
      </c>
      <c r="AA10" s="40"/>
      <c r="AB10" s="40" t="s">
        <v>122</v>
      </c>
      <c r="AC10" s="40">
        <v>408.0</v>
      </c>
    </row>
    <row r="11">
      <c r="A11" s="12" t="s">
        <v>68</v>
      </c>
      <c r="B11" s="21">
        <v>37837.0</v>
      </c>
      <c r="C11" s="21">
        <v>3431.0</v>
      </c>
      <c r="D11" s="21">
        <v>3435.0</v>
      </c>
      <c r="E11" s="21">
        <f t="shared" si="1"/>
        <v>6866</v>
      </c>
      <c r="F11" s="35">
        <f t="shared" si="2"/>
        <v>18.15</v>
      </c>
      <c r="G11" s="21">
        <v>19106.0</v>
      </c>
      <c r="H11" s="13">
        <f t="shared" si="3"/>
        <v>11865</v>
      </c>
      <c r="I11" s="21">
        <v>2000.0</v>
      </c>
      <c r="J11" s="13">
        <f t="shared" si="4"/>
        <v>9865</v>
      </c>
      <c r="K11" s="21">
        <v>4.49</v>
      </c>
      <c r="L11" s="13">
        <f t="shared" si="5"/>
        <v>37837</v>
      </c>
      <c r="M11" s="22" t="s">
        <v>20</v>
      </c>
      <c r="O11" s="40" t="s">
        <v>33</v>
      </c>
      <c r="P11" s="40" t="s">
        <v>184</v>
      </c>
      <c r="Q11" s="40">
        <v>100.0</v>
      </c>
      <c r="S11" s="44" t="s">
        <v>70</v>
      </c>
      <c r="T11" s="44" t="s">
        <v>185</v>
      </c>
      <c r="U11" s="46">
        <v>150.0</v>
      </c>
      <c r="W11" s="40"/>
      <c r="X11" s="40" t="s">
        <v>122</v>
      </c>
      <c r="Y11" s="40">
        <v>405.0</v>
      </c>
      <c r="AA11" s="40"/>
      <c r="AB11" s="40" t="s">
        <v>187</v>
      </c>
      <c r="AC11" s="40">
        <v>100.0</v>
      </c>
    </row>
    <row r="12">
      <c r="A12" s="12" t="s">
        <v>23</v>
      </c>
      <c r="B12" s="21">
        <v>29112.0</v>
      </c>
      <c r="C12" s="21">
        <v>4412.0</v>
      </c>
      <c r="D12" s="21">
        <v>1796.0</v>
      </c>
      <c r="E12" s="21">
        <f t="shared" si="1"/>
        <v>6208</v>
      </c>
      <c r="F12" s="35">
        <f t="shared" si="2"/>
        <v>21.32</v>
      </c>
      <c r="G12" s="21">
        <v>15815.0</v>
      </c>
      <c r="H12" s="13">
        <f t="shared" si="3"/>
        <v>7089</v>
      </c>
      <c r="I12" s="21">
        <v>400.0</v>
      </c>
      <c r="J12" s="13">
        <f t="shared" si="4"/>
        <v>6689</v>
      </c>
      <c r="K12" s="21">
        <v>10.43</v>
      </c>
      <c r="L12" s="13">
        <f t="shared" si="5"/>
        <v>29112</v>
      </c>
      <c r="M12" s="22" t="s">
        <v>20</v>
      </c>
      <c r="O12" s="40"/>
      <c r="P12" s="40" t="s">
        <v>165</v>
      </c>
      <c r="Q12" s="40">
        <v>100.0</v>
      </c>
      <c r="S12" s="44"/>
      <c r="T12" s="44" t="s">
        <v>189</v>
      </c>
      <c r="U12" s="46">
        <v>472.0</v>
      </c>
      <c r="W12" s="42"/>
      <c r="X12" s="40" t="s">
        <v>138</v>
      </c>
      <c r="Y12" s="40">
        <v>81.0</v>
      </c>
      <c r="AA12" s="42"/>
      <c r="AB12" s="40" t="s">
        <v>190</v>
      </c>
      <c r="AC12" s="40">
        <v>130.0</v>
      </c>
    </row>
    <row r="13">
      <c r="A13" s="12" t="s">
        <v>59</v>
      </c>
      <c r="B13" s="21">
        <v>45132.0</v>
      </c>
      <c r="C13" s="21">
        <v>7018.0</v>
      </c>
      <c r="D13" s="21">
        <v>4623.0</v>
      </c>
      <c r="E13" s="21">
        <f t="shared" si="1"/>
        <v>11641</v>
      </c>
      <c r="F13" s="35">
        <f t="shared" si="2"/>
        <v>25.79</v>
      </c>
      <c r="G13" s="21">
        <v>26785.0</v>
      </c>
      <c r="H13" s="13">
        <f t="shared" si="3"/>
        <v>6706</v>
      </c>
      <c r="I13" s="21">
        <v>5558.0</v>
      </c>
      <c r="J13" s="13">
        <f t="shared" si="4"/>
        <v>1148</v>
      </c>
      <c r="K13" s="21">
        <v>22.92</v>
      </c>
      <c r="L13" s="13">
        <f t="shared" si="5"/>
        <v>45132</v>
      </c>
      <c r="M13" s="22" t="s">
        <v>20</v>
      </c>
      <c r="O13" s="40"/>
      <c r="P13" s="40" t="s">
        <v>82</v>
      </c>
      <c r="Q13" s="40">
        <v>20.0</v>
      </c>
      <c r="S13" s="43" t="s">
        <v>75</v>
      </c>
      <c r="T13" s="41" t="s">
        <v>122</v>
      </c>
      <c r="U13" s="47">
        <v>361.0</v>
      </c>
      <c r="W13" s="40"/>
      <c r="X13" s="40" t="s">
        <v>54</v>
      </c>
      <c r="Y13" s="40">
        <v>8.0</v>
      </c>
      <c r="AA13" s="40"/>
      <c r="AB13" s="40" t="s">
        <v>78</v>
      </c>
      <c r="AC13" s="40">
        <v>300.0</v>
      </c>
    </row>
    <row r="14">
      <c r="A14" s="12" t="s">
        <v>70</v>
      </c>
      <c r="B14" s="21">
        <v>63246.0</v>
      </c>
      <c r="C14" s="21">
        <v>4281.0</v>
      </c>
      <c r="D14" s="21">
        <v>6093.0</v>
      </c>
      <c r="E14" s="21">
        <f t="shared" si="1"/>
        <v>10374</v>
      </c>
      <c r="F14" s="35">
        <f t="shared" si="2"/>
        <v>16.4</v>
      </c>
      <c r="G14" s="21">
        <v>42361.0</v>
      </c>
      <c r="H14" s="13">
        <f t="shared" si="3"/>
        <v>10511</v>
      </c>
      <c r="I14" s="21">
        <v>622.0</v>
      </c>
      <c r="J14" s="13">
        <f t="shared" si="4"/>
        <v>9889</v>
      </c>
      <c r="K14" s="21">
        <v>35.99</v>
      </c>
      <c r="L14" s="13">
        <f t="shared" si="5"/>
        <v>63246</v>
      </c>
      <c r="M14" s="22" t="s">
        <v>20</v>
      </c>
      <c r="O14" s="40"/>
      <c r="P14" s="40" t="s">
        <v>176</v>
      </c>
      <c r="Q14" s="40">
        <v>170.0</v>
      </c>
      <c r="S14" s="43"/>
      <c r="T14" s="41" t="s">
        <v>138</v>
      </c>
      <c r="U14" s="47">
        <v>98.0</v>
      </c>
      <c r="W14" s="40" t="s">
        <v>74</v>
      </c>
      <c r="X14" s="40" t="s">
        <v>176</v>
      </c>
      <c r="Y14" s="40">
        <v>349.0</v>
      </c>
      <c r="AA14" s="15"/>
      <c r="AB14" s="15"/>
      <c r="AC14" s="15"/>
    </row>
    <row r="15">
      <c r="A15" s="12" t="s">
        <v>75</v>
      </c>
      <c r="B15" s="21">
        <v>72216.0</v>
      </c>
      <c r="C15" s="21">
        <v>6699.0</v>
      </c>
      <c r="D15" s="21">
        <v>15158.0</v>
      </c>
      <c r="E15" s="21">
        <f t="shared" si="1"/>
        <v>21857</v>
      </c>
      <c r="F15" s="35">
        <f t="shared" si="2"/>
        <v>30.27</v>
      </c>
      <c r="G15" s="21">
        <v>32759.0</v>
      </c>
      <c r="H15" s="13">
        <f t="shared" si="3"/>
        <v>17600</v>
      </c>
      <c r="I15" s="21">
        <v>719.0</v>
      </c>
      <c r="J15" s="13">
        <f t="shared" si="4"/>
        <v>16881</v>
      </c>
      <c r="K15" s="21">
        <v>23.38</v>
      </c>
      <c r="L15" s="13">
        <f t="shared" si="5"/>
        <v>72216</v>
      </c>
      <c r="M15" s="22" t="s">
        <v>20</v>
      </c>
      <c r="O15" s="40"/>
      <c r="P15" s="40" t="s">
        <v>122</v>
      </c>
      <c r="Q15" s="40">
        <v>339.0</v>
      </c>
      <c r="S15" s="43"/>
      <c r="T15" s="43" t="s">
        <v>176</v>
      </c>
      <c r="U15" s="47">
        <v>252.0</v>
      </c>
      <c r="W15" s="42"/>
      <c r="X15" s="40" t="s">
        <v>122</v>
      </c>
      <c r="Y15" s="40">
        <v>415.0</v>
      </c>
      <c r="AA15" s="15"/>
      <c r="AB15" s="15"/>
      <c r="AC15" s="15"/>
    </row>
    <row r="16">
      <c r="A16" s="12" t="s">
        <v>27</v>
      </c>
      <c r="B16" s="21">
        <v>35909.0</v>
      </c>
      <c r="C16" s="21">
        <v>4634.0</v>
      </c>
      <c r="D16" s="21">
        <v>3066.0</v>
      </c>
      <c r="E16" s="21">
        <f t="shared" si="1"/>
        <v>7700</v>
      </c>
      <c r="F16" s="35">
        <f t="shared" si="2"/>
        <v>21.44</v>
      </c>
      <c r="G16" s="21">
        <v>19139.0</v>
      </c>
      <c r="H16" s="13">
        <f t="shared" si="3"/>
        <v>9070</v>
      </c>
      <c r="I16" s="21">
        <v>5127.0</v>
      </c>
      <c r="J16" s="13">
        <f t="shared" si="4"/>
        <v>3943</v>
      </c>
      <c r="K16" s="21">
        <v>51.5</v>
      </c>
      <c r="L16" s="13">
        <f t="shared" si="5"/>
        <v>35909</v>
      </c>
      <c r="M16" s="22" t="s">
        <v>20</v>
      </c>
      <c r="O16" s="40" t="s">
        <v>40</v>
      </c>
      <c r="P16" s="40" t="s">
        <v>196</v>
      </c>
      <c r="Q16" s="40">
        <v>340.0</v>
      </c>
      <c r="S16" s="44"/>
      <c r="T16" s="44" t="s">
        <v>54</v>
      </c>
      <c r="U16" s="46">
        <v>8.0</v>
      </c>
      <c r="W16" s="40"/>
      <c r="X16" s="40" t="s">
        <v>138</v>
      </c>
      <c r="Y16" s="40">
        <v>78.0</v>
      </c>
      <c r="AA16" s="15"/>
      <c r="AB16" s="15"/>
      <c r="AC16" s="15"/>
    </row>
    <row r="17">
      <c r="A17" s="12" t="s">
        <v>31</v>
      </c>
      <c r="B17" s="21">
        <v>36356.0</v>
      </c>
      <c r="C17" s="21">
        <v>4085.0</v>
      </c>
      <c r="D17" s="21">
        <v>6358.0</v>
      </c>
      <c r="E17" s="21">
        <f t="shared" si="1"/>
        <v>10443</v>
      </c>
      <c r="F17" s="35">
        <f t="shared" si="2"/>
        <v>28.72</v>
      </c>
      <c r="G17" s="21">
        <v>18211.0</v>
      </c>
      <c r="H17" s="13">
        <f t="shared" si="3"/>
        <v>7702</v>
      </c>
      <c r="I17" s="21">
        <v>543.0</v>
      </c>
      <c r="J17" s="13">
        <f t="shared" si="4"/>
        <v>7159</v>
      </c>
      <c r="K17" s="21">
        <v>71.92</v>
      </c>
      <c r="L17" s="13">
        <f t="shared" si="5"/>
        <v>36356</v>
      </c>
      <c r="M17" s="22" t="s">
        <v>20</v>
      </c>
      <c r="O17" s="42"/>
      <c r="P17" s="40" t="s">
        <v>97</v>
      </c>
      <c r="Q17" s="40">
        <v>1900.0</v>
      </c>
      <c r="S17" s="41" t="s">
        <v>27</v>
      </c>
      <c r="T17" s="41" t="s">
        <v>176</v>
      </c>
      <c r="U17" s="47">
        <v>247.0</v>
      </c>
      <c r="W17" s="42"/>
      <c r="X17" s="40" t="s">
        <v>54</v>
      </c>
      <c r="Y17" s="40">
        <v>8.0</v>
      </c>
      <c r="AA17" s="15"/>
      <c r="AB17" s="15"/>
      <c r="AC17" s="15"/>
    </row>
    <row r="18">
      <c r="A18" s="12" t="s">
        <v>46</v>
      </c>
      <c r="B18" s="21">
        <v>38337.0</v>
      </c>
      <c r="C18" s="21">
        <v>1405.0</v>
      </c>
      <c r="D18" s="21">
        <v>7522.0</v>
      </c>
      <c r="E18" s="21">
        <f t="shared" si="1"/>
        <v>8927</v>
      </c>
      <c r="F18" s="35">
        <f t="shared" si="2"/>
        <v>23.29</v>
      </c>
      <c r="G18" s="21">
        <v>22800.0</v>
      </c>
      <c r="H18" s="13">
        <f t="shared" si="3"/>
        <v>6610</v>
      </c>
      <c r="I18" s="21">
        <v>3559.0</v>
      </c>
      <c r="J18" s="13">
        <f t="shared" si="4"/>
        <v>3051</v>
      </c>
      <c r="K18" s="21">
        <v>19.27</v>
      </c>
      <c r="L18" s="13">
        <f t="shared" si="5"/>
        <v>38337</v>
      </c>
      <c r="M18" s="22" t="s">
        <v>20</v>
      </c>
      <c r="O18" s="42"/>
      <c r="P18" s="40" t="s">
        <v>176</v>
      </c>
      <c r="Q18" s="40">
        <v>546.0</v>
      </c>
      <c r="S18" s="40"/>
      <c r="T18" s="40" t="s">
        <v>122</v>
      </c>
      <c r="U18" s="40">
        <v>373.0</v>
      </c>
      <c r="W18" s="40" t="s">
        <v>77</v>
      </c>
      <c r="X18" s="40" t="s">
        <v>176</v>
      </c>
      <c r="Y18" s="40">
        <v>440.0</v>
      </c>
      <c r="AA18" s="15"/>
      <c r="AB18" s="15"/>
      <c r="AC18" s="15"/>
    </row>
    <row r="19">
      <c r="A19" s="12" t="s">
        <v>51</v>
      </c>
      <c r="B19" s="21">
        <v>43195.0</v>
      </c>
      <c r="C19" s="21">
        <v>2698.0</v>
      </c>
      <c r="D19" s="21">
        <v>3921.0</v>
      </c>
      <c r="E19" s="21">
        <f t="shared" si="1"/>
        <v>6619</v>
      </c>
      <c r="F19" s="35">
        <f t="shared" si="2"/>
        <v>15.32</v>
      </c>
      <c r="G19" s="21">
        <v>25778.0</v>
      </c>
      <c r="H19" s="13">
        <f t="shared" si="3"/>
        <v>10798</v>
      </c>
      <c r="I19" s="21">
        <v>4000.0</v>
      </c>
      <c r="J19" s="13">
        <f t="shared" si="4"/>
        <v>6798</v>
      </c>
      <c r="K19" s="21">
        <v>62.35</v>
      </c>
      <c r="L19" s="13">
        <f t="shared" si="5"/>
        <v>43195</v>
      </c>
      <c r="M19" s="22" t="s">
        <v>20</v>
      </c>
      <c r="O19" s="42"/>
      <c r="P19" s="40" t="s">
        <v>122</v>
      </c>
      <c r="Q19" s="40">
        <v>1039.0</v>
      </c>
      <c r="S19" s="42"/>
      <c r="T19" s="40" t="s">
        <v>138</v>
      </c>
      <c r="U19" s="40">
        <v>49.0</v>
      </c>
      <c r="W19" s="42"/>
      <c r="X19" s="40" t="s">
        <v>122</v>
      </c>
      <c r="Y19" s="40">
        <v>681.0</v>
      </c>
      <c r="AA19" s="15"/>
      <c r="AB19" s="15"/>
      <c r="AC19" s="15"/>
    </row>
    <row r="20">
      <c r="A20" s="12" t="s">
        <v>57</v>
      </c>
      <c r="B20" s="21">
        <v>40926.0</v>
      </c>
      <c r="C20" s="21">
        <v>3613.0</v>
      </c>
      <c r="D20" s="21">
        <v>5467.0</v>
      </c>
      <c r="E20" s="21">
        <f t="shared" si="1"/>
        <v>9080</v>
      </c>
      <c r="F20" s="35">
        <f t="shared" si="2"/>
        <v>22.19</v>
      </c>
      <c r="G20" s="21">
        <v>22939.0</v>
      </c>
      <c r="H20" s="13">
        <f t="shared" si="3"/>
        <v>8907</v>
      </c>
      <c r="I20" s="21">
        <v>5326.0</v>
      </c>
      <c r="J20" s="13">
        <f t="shared" si="4"/>
        <v>3581</v>
      </c>
      <c r="K20" s="21">
        <v>41.06</v>
      </c>
      <c r="L20" s="13">
        <f t="shared" si="5"/>
        <v>40926</v>
      </c>
      <c r="M20" s="22" t="s">
        <v>20</v>
      </c>
      <c r="O20" s="40"/>
      <c r="P20" s="40" t="s">
        <v>138</v>
      </c>
      <c r="Q20" s="40">
        <v>133.0</v>
      </c>
      <c r="S20" s="40"/>
      <c r="T20" s="40" t="s">
        <v>54</v>
      </c>
      <c r="U20" s="40">
        <v>8.0</v>
      </c>
      <c r="W20" s="42"/>
      <c r="X20" s="40" t="s">
        <v>138</v>
      </c>
      <c r="Y20" s="40">
        <v>97.0</v>
      </c>
    </row>
    <row r="21">
      <c r="A21" s="12" t="s">
        <v>62</v>
      </c>
      <c r="B21" s="21">
        <v>55765.0</v>
      </c>
      <c r="C21" s="21">
        <v>3153.0</v>
      </c>
      <c r="D21" s="21">
        <v>5416.0</v>
      </c>
      <c r="E21" s="21">
        <f t="shared" si="1"/>
        <v>8569</v>
      </c>
      <c r="F21" s="35">
        <f t="shared" si="2"/>
        <v>15.37</v>
      </c>
      <c r="G21" s="21">
        <v>36120.0</v>
      </c>
      <c r="H21" s="13">
        <f t="shared" si="3"/>
        <v>11076</v>
      </c>
      <c r="I21" s="21">
        <v>664.0</v>
      </c>
      <c r="J21" s="13">
        <f t="shared" si="4"/>
        <v>10412</v>
      </c>
      <c r="K21" s="21">
        <v>27.83</v>
      </c>
      <c r="L21" s="13">
        <f t="shared" si="5"/>
        <v>55765</v>
      </c>
      <c r="M21" s="22" t="s">
        <v>20</v>
      </c>
      <c r="O21" s="42"/>
      <c r="P21" s="40" t="s">
        <v>54</v>
      </c>
      <c r="Q21" s="40">
        <v>7.0</v>
      </c>
      <c r="S21" s="44"/>
      <c r="T21" s="41" t="s">
        <v>128</v>
      </c>
      <c r="U21" s="47">
        <v>200.0</v>
      </c>
      <c r="W21" s="42"/>
      <c r="X21" s="40" t="s">
        <v>54</v>
      </c>
      <c r="Y21" s="40">
        <v>8.0</v>
      </c>
    </row>
    <row r="22">
      <c r="A22" s="12" t="s">
        <v>67</v>
      </c>
      <c r="B22" s="21">
        <v>78550.0</v>
      </c>
      <c r="C22" s="21">
        <v>9269.0</v>
      </c>
      <c r="D22" s="21">
        <v>10125.0</v>
      </c>
      <c r="E22" s="21">
        <f t="shared" si="1"/>
        <v>19394</v>
      </c>
      <c r="F22" s="35">
        <f t="shared" si="2"/>
        <v>24.69</v>
      </c>
      <c r="G22" s="34">
        <v>43515.0</v>
      </c>
      <c r="H22" s="13">
        <f t="shared" si="3"/>
        <v>15641</v>
      </c>
      <c r="I22" s="21">
        <v>755.0</v>
      </c>
      <c r="J22" s="13">
        <f t="shared" si="4"/>
        <v>14886</v>
      </c>
      <c r="K22" s="21">
        <v>33.8</v>
      </c>
      <c r="L22" s="13">
        <f t="shared" si="5"/>
        <v>78550</v>
      </c>
      <c r="M22" s="22" t="s">
        <v>20</v>
      </c>
      <c r="N22" s="45"/>
      <c r="O22" s="42"/>
      <c r="P22" s="40" t="s">
        <v>128</v>
      </c>
      <c r="Q22" s="40">
        <v>200.0</v>
      </c>
      <c r="S22" s="44"/>
      <c r="T22" s="41" t="s">
        <v>142</v>
      </c>
      <c r="U22" s="47">
        <v>4250.0</v>
      </c>
      <c r="W22" s="42"/>
      <c r="X22" s="40" t="s">
        <v>142</v>
      </c>
      <c r="Y22" s="40">
        <v>1530.0</v>
      </c>
    </row>
    <row r="23">
      <c r="A23" s="12" t="s">
        <v>74</v>
      </c>
      <c r="B23" s="21">
        <v>31266.0</v>
      </c>
      <c r="C23" s="21">
        <v>2013.0</v>
      </c>
      <c r="D23" s="21">
        <v>4998.0</v>
      </c>
      <c r="E23" s="21">
        <f t="shared" si="1"/>
        <v>7011</v>
      </c>
      <c r="F23" s="35">
        <f t="shared" si="2"/>
        <v>22.42</v>
      </c>
      <c r="G23" s="21">
        <v>16019.0</v>
      </c>
      <c r="H23" s="13">
        <f t="shared" si="3"/>
        <v>8236</v>
      </c>
      <c r="I23" s="21">
        <v>850.0</v>
      </c>
      <c r="J23" s="13">
        <f t="shared" si="4"/>
        <v>7386</v>
      </c>
      <c r="K23" s="21">
        <v>2.67</v>
      </c>
      <c r="L23" s="13">
        <f t="shared" si="5"/>
        <v>31266</v>
      </c>
      <c r="M23" s="22" t="s">
        <v>20</v>
      </c>
      <c r="O23" s="40"/>
      <c r="P23" s="40" t="s">
        <v>142</v>
      </c>
      <c r="Q23" s="40">
        <v>4860.0</v>
      </c>
      <c r="S23" s="40" t="s">
        <v>31</v>
      </c>
      <c r="T23" s="40" t="s">
        <v>176</v>
      </c>
      <c r="U23" s="40">
        <v>246.0</v>
      </c>
      <c r="W23" s="40" t="s">
        <v>88</v>
      </c>
      <c r="X23" s="40" t="s">
        <v>202</v>
      </c>
      <c r="Y23" s="40">
        <v>20.0</v>
      </c>
    </row>
    <row r="24">
      <c r="A24" s="12" t="s">
        <v>77</v>
      </c>
      <c r="B24" s="21">
        <v>27951.0</v>
      </c>
      <c r="C24" s="21">
        <v>2045.0</v>
      </c>
      <c r="D24" s="21">
        <v>4547.0</v>
      </c>
      <c r="E24" s="21">
        <f t="shared" si="1"/>
        <v>6592</v>
      </c>
      <c r="F24" s="35">
        <f t="shared" si="2"/>
        <v>23.58</v>
      </c>
      <c r="G24" s="21">
        <v>15016.0</v>
      </c>
      <c r="H24" s="13">
        <f t="shared" si="3"/>
        <v>6343</v>
      </c>
      <c r="I24" s="21">
        <v>2756.0</v>
      </c>
      <c r="J24" s="13">
        <f t="shared" si="4"/>
        <v>3587</v>
      </c>
      <c r="K24" s="21">
        <v>14.19</v>
      </c>
      <c r="L24" s="13">
        <f t="shared" si="5"/>
        <v>27951</v>
      </c>
      <c r="M24" s="22" t="s">
        <v>203</v>
      </c>
      <c r="O24" s="40" t="s">
        <v>47</v>
      </c>
      <c r="P24" s="40" t="s">
        <v>38</v>
      </c>
      <c r="Q24" s="40">
        <v>350.0</v>
      </c>
      <c r="S24" s="40"/>
      <c r="T24" s="40" t="s">
        <v>122</v>
      </c>
      <c r="U24" s="40">
        <v>297.0</v>
      </c>
      <c r="W24" s="42"/>
      <c r="X24" s="40" t="s">
        <v>39</v>
      </c>
      <c r="Y24" s="40">
        <v>10.0</v>
      </c>
    </row>
    <row r="25">
      <c r="A25" s="12" t="s">
        <v>88</v>
      </c>
      <c r="B25" s="21">
        <v>29502.0</v>
      </c>
      <c r="C25" s="21">
        <v>1984.0</v>
      </c>
      <c r="D25" s="21">
        <v>4237.0</v>
      </c>
      <c r="E25" s="21">
        <f t="shared" si="1"/>
        <v>6221</v>
      </c>
      <c r="F25" s="35">
        <f t="shared" si="2"/>
        <v>21.09</v>
      </c>
      <c r="G25" s="21">
        <v>13922.0</v>
      </c>
      <c r="H25" s="13">
        <f t="shared" si="3"/>
        <v>9359</v>
      </c>
      <c r="I25" s="21">
        <v>30.0</v>
      </c>
      <c r="J25" s="13">
        <f t="shared" si="4"/>
        <v>9329</v>
      </c>
      <c r="K25" s="21">
        <v>6.19</v>
      </c>
      <c r="L25" s="13">
        <f t="shared" si="5"/>
        <v>29502</v>
      </c>
      <c r="M25" s="22" t="s">
        <v>20</v>
      </c>
      <c r="O25" s="40" t="s">
        <v>52</v>
      </c>
      <c r="P25" s="40" t="s">
        <v>38</v>
      </c>
      <c r="Q25" s="40">
        <v>400.0</v>
      </c>
      <c r="S25" s="40" t="s">
        <v>46</v>
      </c>
      <c r="T25" s="40" t="s">
        <v>97</v>
      </c>
      <c r="U25" s="40">
        <v>1900.0</v>
      </c>
      <c r="W25" s="40" t="s">
        <v>98</v>
      </c>
      <c r="X25" s="40" t="s">
        <v>176</v>
      </c>
      <c r="Y25" s="40">
        <v>288.0</v>
      </c>
    </row>
    <row r="26">
      <c r="A26" s="12" t="s">
        <v>98</v>
      </c>
      <c r="B26" s="21">
        <v>40269.0</v>
      </c>
      <c r="C26" s="21">
        <v>1992.0</v>
      </c>
      <c r="D26" s="21">
        <v>5892.0</v>
      </c>
      <c r="E26" s="21">
        <f t="shared" si="1"/>
        <v>7884</v>
      </c>
      <c r="F26" s="35">
        <f t="shared" si="2"/>
        <v>19.58</v>
      </c>
      <c r="G26" s="21">
        <v>23552.0</v>
      </c>
      <c r="H26" s="13">
        <f t="shared" si="3"/>
        <v>8833</v>
      </c>
      <c r="I26" s="21">
        <v>6223.0</v>
      </c>
      <c r="J26" s="13">
        <f t="shared" si="4"/>
        <v>2610</v>
      </c>
      <c r="K26" s="21">
        <v>9.14</v>
      </c>
      <c r="L26" s="13">
        <f t="shared" si="5"/>
        <v>40269</v>
      </c>
      <c r="M26" s="22" t="s">
        <v>20</v>
      </c>
      <c r="O26" s="40" t="s">
        <v>56</v>
      </c>
      <c r="P26" s="40" t="s">
        <v>97</v>
      </c>
      <c r="Q26" s="40">
        <v>2000.0</v>
      </c>
      <c r="S26" s="40"/>
      <c r="T26" s="40" t="s">
        <v>176</v>
      </c>
      <c r="U26" s="40">
        <v>185.0</v>
      </c>
      <c r="W26" s="42"/>
      <c r="X26" s="40" t="s">
        <v>122</v>
      </c>
      <c r="Y26" s="40">
        <v>476.0</v>
      </c>
    </row>
    <row r="27">
      <c r="A27" s="12" t="s">
        <v>25</v>
      </c>
      <c r="B27" s="21">
        <v>48127.0</v>
      </c>
      <c r="C27" s="21">
        <v>7962.0</v>
      </c>
      <c r="D27" s="21">
        <v>5914.0</v>
      </c>
      <c r="E27" s="21">
        <f t="shared" si="1"/>
        <v>13876</v>
      </c>
      <c r="F27" s="35">
        <f t="shared" si="2"/>
        <v>28.83</v>
      </c>
      <c r="G27" s="21">
        <v>24941.0</v>
      </c>
      <c r="H27" s="13">
        <f t="shared" si="3"/>
        <v>9310</v>
      </c>
      <c r="I27" s="21">
        <v>979.0</v>
      </c>
      <c r="J27" s="13">
        <f t="shared" si="4"/>
        <v>8331</v>
      </c>
      <c r="K27" s="21">
        <v>8.91</v>
      </c>
      <c r="L27" s="13">
        <f t="shared" si="5"/>
        <v>48127</v>
      </c>
      <c r="M27" s="22" t="s">
        <v>20</v>
      </c>
      <c r="O27" s="40"/>
      <c r="P27" s="40" t="s">
        <v>138</v>
      </c>
      <c r="Q27" s="40">
        <v>72.0</v>
      </c>
      <c r="S27" s="40"/>
      <c r="T27" s="40" t="s">
        <v>122</v>
      </c>
      <c r="U27" s="40">
        <v>347.0</v>
      </c>
      <c r="W27" s="42"/>
      <c r="X27" s="40" t="s">
        <v>54</v>
      </c>
      <c r="Y27" s="40">
        <v>8.0</v>
      </c>
    </row>
    <row r="28">
      <c r="A28" s="12" t="s">
        <v>49</v>
      </c>
      <c r="B28" s="21">
        <v>41677.0</v>
      </c>
      <c r="C28" s="21">
        <v>3105.0</v>
      </c>
      <c r="D28" s="21">
        <v>4459.0</v>
      </c>
      <c r="E28" s="21">
        <f t="shared" si="1"/>
        <v>7564</v>
      </c>
      <c r="F28" s="35">
        <f t="shared" si="2"/>
        <v>18.15</v>
      </c>
      <c r="G28" s="21">
        <v>22662.0</v>
      </c>
      <c r="H28" s="13">
        <f t="shared" si="3"/>
        <v>11451</v>
      </c>
      <c r="I28" s="21">
        <v>556.0</v>
      </c>
      <c r="J28" s="13">
        <f t="shared" si="4"/>
        <v>10895</v>
      </c>
      <c r="K28" s="21">
        <v>20.33</v>
      </c>
      <c r="L28" s="13">
        <f t="shared" si="5"/>
        <v>41677</v>
      </c>
      <c r="M28" s="22" t="s">
        <v>20</v>
      </c>
      <c r="O28" s="42"/>
      <c r="P28" s="40" t="s">
        <v>176</v>
      </c>
      <c r="Q28" s="40">
        <v>123.0</v>
      </c>
      <c r="S28" s="40"/>
      <c r="T28" s="40" t="s">
        <v>138</v>
      </c>
      <c r="U28" s="40">
        <v>92.8</v>
      </c>
      <c r="W28" s="42"/>
      <c r="X28" s="40" t="s">
        <v>138</v>
      </c>
      <c r="Y28" s="40">
        <v>87.0</v>
      </c>
    </row>
    <row r="29">
      <c r="A29" s="12" t="s">
        <v>65</v>
      </c>
      <c r="B29" s="21">
        <v>70657.0</v>
      </c>
      <c r="C29" s="21">
        <v>5225.0</v>
      </c>
      <c r="D29" s="21">
        <v>9501.0</v>
      </c>
      <c r="E29" s="21">
        <f t="shared" si="1"/>
        <v>14726</v>
      </c>
      <c r="F29" s="35">
        <f t="shared" si="2"/>
        <v>20.84</v>
      </c>
      <c r="G29" s="21">
        <v>36909.0</v>
      </c>
      <c r="H29" s="13">
        <f t="shared" si="3"/>
        <v>19022</v>
      </c>
      <c r="I29" s="21">
        <v>529.0</v>
      </c>
      <c r="J29" s="13">
        <f t="shared" si="4"/>
        <v>18493</v>
      </c>
      <c r="K29" s="21">
        <v>30.87</v>
      </c>
      <c r="L29" s="13">
        <f t="shared" si="5"/>
        <v>70657</v>
      </c>
      <c r="M29" s="22" t="s">
        <v>20</v>
      </c>
      <c r="O29" s="42"/>
      <c r="P29" s="40" t="s">
        <v>122</v>
      </c>
      <c r="Q29" s="40">
        <v>521.0</v>
      </c>
      <c r="S29" s="42"/>
      <c r="T29" s="40" t="s">
        <v>172</v>
      </c>
      <c r="U29" s="40">
        <v>175.0</v>
      </c>
      <c r="W29" s="42"/>
      <c r="X29" s="40" t="s">
        <v>207</v>
      </c>
      <c r="Y29" s="40">
        <v>64.0</v>
      </c>
    </row>
    <row r="30">
      <c r="A30" s="22" t="s">
        <v>101</v>
      </c>
      <c r="B30" s="21">
        <v>37416.0</v>
      </c>
      <c r="C30" s="21">
        <v>3543.0</v>
      </c>
      <c r="D30" s="21">
        <v>7234.0</v>
      </c>
      <c r="E30" s="21">
        <f t="shared" si="1"/>
        <v>10777</v>
      </c>
      <c r="F30" s="35">
        <f t="shared" si="2"/>
        <v>28.8</v>
      </c>
      <c r="G30" s="21">
        <v>17245.0</v>
      </c>
      <c r="H30" s="13">
        <f t="shared" si="3"/>
        <v>9394</v>
      </c>
      <c r="I30" s="21">
        <v>1328.0</v>
      </c>
      <c r="J30" s="13">
        <f t="shared" si="4"/>
        <v>8066</v>
      </c>
      <c r="K30" s="21">
        <v>4.74</v>
      </c>
      <c r="L30" s="13">
        <f t="shared" si="5"/>
        <v>37416</v>
      </c>
      <c r="M30" s="22"/>
      <c r="O30" s="40" t="s">
        <v>60</v>
      </c>
      <c r="P30" s="40" t="s">
        <v>39</v>
      </c>
      <c r="Q30" s="40">
        <v>20.0</v>
      </c>
      <c r="S30" s="40"/>
      <c r="T30" s="40" t="s">
        <v>38</v>
      </c>
      <c r="U30" s="40">
        <v>400.0</v>
      </c>
      <c r="W30" s="42"/>
      <c r="X30" s="40" t="s">
        <v>85</v>
      </c>
      <c r="Y30" s="40">
        <v>5300.0</v>
      </c>
    </row>
    <row r="31">
      <c r="A31" s="22" t="s">
        <v>110</v>
      </c>
      <c r="B31" s="21">
        <v>36346.0</v>
      </c>
      <c r="C31" s="21">
        <v>3163.0</v>
      </c>
      <c r="D31" s="21">
        <v>6700.0</v>
      </c>
      <c r="E31" s="21">
        <f t="shared" si="1"/>
        <v>9863</v>
      </c>
      <c r="F31" s="35">
        <f t="shared" si="2"/>
        <v>27.14</v>
      </c>
      <c r="G31" s="21">
        <v>16842.0</v>
      </c>
      <c r="H31" s="13">
        <f t="shared" si="3"/>
        <v>9641</v>
      </c>
      <c r="I31" s="21">
        <v>0.0</v>
      </c>
      <c r="J31" s="13">
        <f t="shared" si="4"/>
        <v>9641</v>
      </c>
      <c r="K31" s="21">
        <v>3.61</v>
      </c>
      <c r="L31" s="13">
        <f t="shared" si="5"/>
        <v>36346</v>
      </c>
      <c r="M31" s="22"/>
      <c r="O31" s="40"/>
      <c r="P31" s="40" t="s">
        <v>22</v>
      </c>
      <c r="Q31" s="40">
        <v>690.0</v>
      </c>
      <c r="S31" s="40"/>
      <c r="T31" s="40" t="s">
        <v>141</v>
      </c>
      <c r="U31" s="40">
        <v>360.0</v>
      </c>
      <c r="W31" s="40" t="s">
        <v>25</v>
      </c>
      <c r="X31" s="40" t="s">
        <v>176</v>
      </c>
      <c r="Y31" s="40">
        <v>240.0</v>
      </c>
    </row>
    <row r="32">
      <c r="A32" s="28"/>
      <c r="B32" s="29">
        <f t="shared" ref="B32:C32" si="6">SUM(B2:B31)</f>
        <v>1366798</v>
      </c>
      <c r="C32" s="29">
        <f t="shared" si="6"/>
        <v>118592</v>
      </c>
      <c r="D32" s="29">
        <f t="shared" ref="D32:E32" si="7">sum(D2:D31)</f>
        <v>184961</v>
      </c>
      <c r="E32" s="29">
        <f t="shared" si="7"/>
        <v>303553</v>
      </c>
      <c r="F32" s="29">
        <f t="shared" si="2"/>
        <v>22.21</v>
      </c>
      <c r="G32" s="29">
        <f t="shared" ref="G32:K32" si="8">SUM(G2:G29)</f>
        <v>717842</v>
      </c>
      <c r="H32" s="29">
        <f t="shared" si="8"/>
        <v>292281</v>
      </c>
      <c r="I32" s="29">
        <f t="shared" si="8"/>
        <v>66892</v>
      </c>
      <c r="J32" s="29">
        <f t="shared" si="8"/>
        <v>225389</v>
      </c>
      <c r="K32" s="29">
        <f t="shared" si="8"/>
        <v>813.69</v>
      </c>
      <c r="L32" s="29">
        <f>SUM(L2:L31)</f>
        <v>1366798</v>
      </c>
      <c r="M32" s="29"/>
      <c r="O32" s="40" t="s">
        <v>64</v>
      </c>
      <c r="P32" s="40" t="s">
        <v>138</v>
      </c>
      <c r="Q32" s="40">
        <v>56.0</v>
      </c>
      <c r="S32" s="40"/>
      <c r="T32" s="40" t="s">
        <v>209</v>
      </c>
      <c r="U32" s="40">
        <v>100.0</v>
      </c>
      <c r="W32" s="42"/>
      <c r="X32" s="40" t="s">
        <v>122</v>
      </c>
      <c r="Y32" s="40">
        <v>239.0</v>
      </c>
    </row>
    <row r="33">
      <c r="O33" s="42"/>
      <c r="P33" s="40" t="s">
        <v>210</v>
      </c>
      <c r="Q33" s="40">
        <v>7.0</v>
      </c>
      <c r="S33" s="39" t="s">
        <v>51</v>
      </c>
      <c r="T33" s="40" t="s">
        <v>48</v>
      </c>
      <c r="U33" s="40">
        <v>1500.0</v>
      </c>
      <c r="W33" s="42"/>
      <c r="X33" s="40" t="s">
        <v>211</v>
      </c>
      <c r="Y33" s="40">
        <v>300.0</v>
      </c>
    </row>
    <row r="34">
      <c r="O34" s="42"/>
      <c r="P34" s="40" t="s">
        <v>122</v>
      </c>
      <c r="Q34" s="40">
        <v>480.0</v>
      </c>
      <c r="S34" s="40"/>
      <c r="T34" s="40" t="s">
        <v>78</v>
      </c>
      <c r="U34" s="40">
        <v>500.0</v>
      </c>
      <c r="W34" s="42"/>
      <c r="X34" s="40" t="s">
        <v>128</v>
      </c>
      <c r="Y34" s="40">
        <v>200.0</v>
      </c>
    </row>
    <row r="35">
      <c r="O35" s="42"/>
      <c r="P35" s="40" t="s">
        <v>176</v>
      </c>
      <c r="Q35" s="40">
        <v>244.0</v>
      </c>
      <c r="S35" s="40"/>
      <c r="T35" s="40" t="s">
        <v>212</v>
      </c>
      <c r="U35" s="40">
        <v>2000.0</v>
      </c>
      <c r="W35" s="40" t="s">
        <v>49</v>
      </c>
      <c r="X35" s="40" t="s">
        <v>176</v>
      </c>
      <c r="Y35" s="40">
        <v>194.0</v>
      </c>
    </row>
    <row r="36">
      <c r="O36" s="42"/>
      <c r="P36" s="40" t="s">
        <v>142</v>
      </c>
      <c r="Q36" s="40">
        <v>4500.0</v>
      </c>
      <c r="W36" s="42"/>
      <c r="X36" s="40" t="s">
        <v>122</v>
      </c>
      <c r="Y36" s="40">
        <v>295.0</v>
      </c>
    </row>
    <row r="37">
      <c r="O37" s="42"/>
      <c r="P37" s="40" t="s">
        <v>128</v>
      </c>
      <c r="Q37" s="40">
        <v>100.0</v>
      </c>
      <c r="W37" s="42"/>
      <c r="X37" s="40" t="s">
        <v>54</v>
      </c>
      <c r="Y37" s="40">
        <v>8.0</v>
      </c>
    </row>
    <row r="38">
      <c r="W38" s="42"/>
      <c r="X38" s="40" t="s">
        <v>138</v>
      </c>
      <c r="Y38" s="40">
        <v>59.0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75"/>
    <col customWidth="1" min="3" max="3" width="7.63"/>
    <col customWidth="1" min="4" max="4" width="7.75"/>
    <col customWidth="1" min="5" max="5" width="7.63"/>
    <col customWidth="1" min="6" max="6" width="9.13"/>
    <col customWidth="1" min="7" max="8" width="7.63"/>
    <col customWidth="1" min="9" max="9" width="9.75"/>
    <col customWidth="1" min="10" max="10" width="14.5"/>
    <col customWidth="1" min="11" max="11" width="8.5"/>
    <col customWidth="1" min="12" max="12" width="8.75"/>
    <col customWidth="1" min="13" max="13" width="10.63"/>
    <col customWidth="1" min="14" max="14" width="12.63"/>
    <col customWidth="1" min="15" max="15" width="5.25"/>
    <col customWidth="1" min="16" max="16" width="12.13"/>
    <col customWidth="1" min="17" max="17" width="7.88"/>
    <col customWidth="1" min="18" max="18" width="12.63"/>
    <col customWidth="1" min="19" max="19" width="5.25"/>
    <col customWidth="1" min="20" max="20" width="11.75"/>
    <col customWidth="1" min="21" max="21" width="7.88"/>
    <col customWidth="1" min="22" max="22" width="12.63"/>
    <col customWidth="1" min="23" max="23" width="5.25"/>
    <col customWidth="1" min="24" max="24" width="10.63"/>
    <col customWidth="1" min="25" max="25" width="7.88"/>
    <col customWidth="1" min="26" max="29" width="12.63"/>
  </cols>
  <sheetData>
    <row r="1">
      <c r="A1" s="3" t="s">
        <v>1</v>
      </c>
      <c r="B1" s="3" t="s">
        <v>5</v>
      </c>
      <c r="C1" s="27" t="s">
        <v>114</v>
      </c>
      <c r="D1" s="27" t="s">
        <v>115</v>
      </c>
      <c r="E1" s="27" t="s">
        <v>193</v>
      </c>
      <c r="F1" s="27" t="s">
        <v>194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O1" s="8" t="s">
        <v>1</v>
      </c>
      <c r="P1" s="8" t="s">
        <v>14</v>
      </c>
      <c r="Q1" s="8" t="s">
        <v>15</v>
      </c>
      <c r="S1" s="8" t="s">
        <v>1</v>
      </c>
      <c r="T1" s="8" t="s">
        <v>14</v>
      </c>
      <c r="U1" s="8" t="s">
        <v>15</v>
      </c>
      <c r="W1" s="8" t="s">
        <v>1</v>
      </c>
      <c r="X1" s="8" t="s">
        <v>14</v>
      </c>
      <c r="Y1" s="8" t="s">
        <v>15</v>
      </c>
    </row>
    <row r="2">
      <c r="A2" s="12" t="s">
        <v>16</v>
      </c>
      <c r="B2" s="21">
        <v>50782.0</v>
      </c>
      <c r="C2" s="21">
        <v>5889.0</v>
      </c>
      <c r="D2" s="21">
        <v>14718.0</v>
      </c>
      <c r="E2" s="21">
        <f t="shared" ref="E2:E32" si="1">sum(C2:D2)</f>
        <v>20607</v>
      </c>
      <c r="F2" s="35">
        <f t="shared" ref="F2:F33" si="2">if((E2&gt;0),round((E2/B2)*100, 2) , 0)</f>
        <v>40.58</v>
      </c>
      <c r="G2" s="21">
        <v>21587.0</v>
      </c>
      <c r="H2" s="13">
        <f t="shared" ref="H2:H32" si="3">(B2-E2-G2)</f>
        <v>8588</v>
      </c>
      <c r="I2" s="21">
        <v>783.0</v>
      </c>
      <c r="J2" s="13">
        <f t="shared" ref="J2:J32" si="4">sum(H2-I2)</f>
        <v>7805</v>
      </c>
      <c r="K2" s="21">
        <v>35.36</v>
      </c>
      <c r="L2" s="13">
        <f t="shared" ref="L2:L32" si="5">sum(C2+D2+G2+H2)</f>
        <v>50782</v>
      </c>
      <c r="M2" s="22" t="s">
        <v>20</v>
      </c>
      <c r="O2" s="39" t="s">
        <v>16</v>
      </c>
      <c r="P2" s="39" t="s">
        <v>122</v>
      </c>
      <c r="Q2" s="21">
        <v>275.0</v>
      </c>
      <c r="S2" s="39" t="s">
        <v>59</v>
      </c>
      <c r="T2" s="40" t="s">
        <v>22</v>
      </c>
      <c r="U2" s="40">
        <v>203.0</v>
      </c>
      <c r="W2" s="39" t="s">
        <v>88</v>
      </c>
      <c r="X2" s="40" t="s">
        <v>138</v>
      </c>
      <c r="Y2" s="40">
        <v>103.0</v>
      </c>
    </row>
    <row r="3">
      <c r="A3" s="22" t="s">
        <v>28</v>
      </c>
      <c r="B3" s="21">
        <v>55454.0</v>
      </c>
      <c r="C3" s="21">
        <v>13260.0</v>
      </c>
      <c r="D3" s="21">
        <v>11034.0</v>
      </c>
      <c r="E3" s="21">
        <f t="shared" si="1"/>
        <v>24294</v>
      </c>
      <c r="F3" s="35">
        <f t="shared" si="2"/>
        <v>43.81</v>
      </c>
      <c r="G3" s="21">
        <v>21293.0</v>
      </c>
      <c r="H3" s="13">
        <f t="shared" si="3"/>
        <v>9867</v>
      </c>
      <c r="I3" s="21">
        <v>500.0</v>
      </c>
      <c r="J3" s="13">
        <f t="shared" si="4"/>
        <v>9367</v>
      </c>
      <c r="K3" s="21">
        <v>2.92</v>
      </c>
      <c r="L3" s="13">
        <f t="shared" si="5"/>
        <v>55454</v>
      </c>
      <c r="M3" s="22" t="s">
        <v>20</v>
      </c>
      <c r="O3" s="40"/>
      <c r="P3" s="40" t="s">
        <v>176</v>
      </c>
      <c r="Q3" s="40">
        <v>436.0</v>
      </c>
      <c r="S3" s="40"/>
      <c r="T3" s="40" t="s">
        <v>22</v>
      </c>
      <c r="U3" s="40">
        <v>693.0</v>
      </c>
      <c r="W3" s="40"/>
      <c r="X3" s="40" t="s">
        <v>122</v>
      </c>
      <c r="Y3" s="40">
        <v>630.0</v>
      </c>
    </row>
    <row r="4">
      <c r="A4" s="22" t="s">
        <v>33</v>
      </c>
      <c r="B4" s="21">
        <v>58606.0</v>
      </c>
      <c r="C4" s="21">
        <v>11575.0</v>
      </c>
      <c r="D4" s="21">
        <v>16999.0</v>
      </c>
      <c r="E4" s="21">
        <f t="shared" si="1"/>
        <v>28574</v>
      </c>
      <c r="F4" s="35">
        <f t="shared" si="2"/>
        <v>48.76</v>
      </c>
      <c r="G4" s="21">
        <v>22315.0</v>
      </c>
      <c r="H4" s="13">
        <f t="shared" si="3"/>
        <v>7717</v>
      </c>
      <c r="I4" s="21">
        <v>760.0</v>
      </c>
      <c r="J4" s="13">
        <f t="shared" si="4"/>
        <v>6957</v>
      </c>
      <c r="K4" s="21">
        <v>106.73</v>
      </c>
      <c r="L4" s="13">
        <f t="shared" si="5"/>
        <v>58606</v>
      </c>
      <c r="M4" s="22" t="s">
        <v>20</v>
      </c>
      <c r="O4" s="40"/>
      <c r="P4" s="40" t="s">
        <v>138</v>
      </c>
      <c r="Q4" s="40">
        <v>64.0</v>
      </c>
      <c r="S4" s="40" t="s">
        <v>70</v>
      </c>
      <c r="T4" s="40" t="s">
        <v>48</v>
      </c>
      <c r="U4" s="40">
        <v>1500.0</v>
      </c>
      <c r="W4" s="40"/>
      <c r="X4" s="40" t="s">
        <v>201</v>
      </c>
      <c r="Y4" s="40">
        <v>269.0</v>
      </c>
    </row>
    <row r="5">
      <c r="A5" s="12" t="s">
        <v>40</v>
      </c>
      <c r="B5" s="21">
        <v>81775.0</v>
      </c>
      <c r="C5" s="21">
        <v>8996.0</v>
      </c>
      <c r="D5" s="21">
        <v>15806.0</v>
      </c>
      <c r="E5" s="21">
        <f t="shared" si="1"/>
        <v>24802</v>
      </c>
      <c r="F5" s="35">
        <f t="shared" si="2"/>
        <v>30.33</v>
      </c>
      <c r="G5" s="21">
        <v>43443.0</v>
      </c>
      <c r="H5" s="13">
        <f t="shared" si="3"/>
        <v>13530</v>
      </c>
      <c r="I5" s="21">
        <v>581.0</v>
      </c>
      <c r="J5" s="13">
        <f t="shared" si="4"/>
        <v>12949</v>
      </c>
      <c r="K5" s="21">
        <v>67.26</v>
      </c>
      <c r="L5" s="13">
        <f t="shared" si="5"/>
        <v>81775</v>
      </c>
      <c r="M5" s="22" t="s">
        <v>20</v>
      </c>
      <c r="O5" s="42"/>
      <c r="P5" s="40" t="s">
        <v>54</v>
      </c>
      <c r="Q5" s="40">
        <v>8.0</v>
      </c>
      <c r="S5" s="40"/>
      <c r="T5" s="40" t="s">
        <v>22</v>
      </c>
      <c r="U5" s="40">
        <v>691.0</v>
      </c>
      <c r="W5" s="42"/>
      <c r="X5" s="40" t="s">
        <v>39</v>
      </c>
      <c r="Y5" s="40">
        <v>20.0</v>
      </c>
    </row>
    <row r="6">
      <c r="A6" s="12" t="s">
        <v>47</v>
      </c>
      <c r="B6" s="21">
        <v>96258.0</v>
      </c>
      <c r="C6" s="21">
        <v>13017.0</v>
      </c>
      <c r="D6" s="21">
        <v>20490.0</v>
      </c>
      <c r="E6" s="21">
        <f t="shared" si="1"/>
        <v>33507</v>
      </c>
      <c r="F6" s="35">
        <f t="shared" si="2"/>
        <v>34.81</v>
      </c>
      <c r="G6" s="21">
        <v>42068.0</v>
      </c>
      <c r="H6" s="13">
        <f t="shared" si="3"/>
        <v>20683</v>
      </c>
      <c r="I6" s="21">
        <v>893.0</v>
      </c>
      <c r="J6" s="13">
        <f t="shared" si="4"/>
        <v>19790</v>
      </c>
      <c r="K6" s="21">
        <v>48.36</v>
      </c>
      <c r="L6" s="13">
        <f t="shared" si="5"/>
        <v>96258</v>
      </c>
      <c r="M6" s="22" t="s">
        <v>20</v>
      </c>
      <c r="O6" s="40" t="s">
        <v>28</v>
      </c>
      <c r="P6" s="40" t="s">
        <v>204</v>
      </c>
      <c r="Q6" s="40">
        <v>500.0</v>
      </c>
      <c r="S6" s="40" t="s">
        <v>75</v>
      </c>
      <c r="T6" s="40" t="s">
        <v>22</v>
      </c>
      <c r="U6" s="40">
        <v>913.0</v>
      </c>
      <c r="W6" s="40" t="s">
        <v>98</v>
      </c>
      <c r="X6" s="40" t="s">
        <v>138</v>
      </c>
      <c r="Y6" s="40">
        <v>92.0</v>
      </c>
    </row>
    <row r="7">
      <c r="A7" s="12" t="s">
        <v>52</v>
      </c>
      <c r="B7" s="21">
        <v>50719.0</v>
      </c>
      <c r="C7" s="21">
        <v>6220.0</v>
      </c>
      <c r="D7" s="21">
        <v>15551.0</v>
      </c>
      <c r="E7" s="21">
        <f t="shared" si="1"/>
        <v>21771</v>
      </c>
      <c r="F7" s="35">
        <f t="shared" si="2"/>
        <v>42.92</v>
      </c>
      <c r="G7" s="21">
        <v>19208.0</v>
      </c>
      <c r="H7" s="13">
        <f t="shared" si="3"/>
        <v>9740</v>
      </c>
      <c r="I7" s="21">
        <v>867.0</v>
      </c>
      <c r="J7" s="13">
        <f t="shared" si="4"/>
        <v>8873</v>
      </c>
      <c r="K7" s="21">
        <v>0.0</v>
      </c>
      <c r="L7" s="13">
        <f t="shared" si="5"/>
        <v>50719</v>
      </c>
      <c r="M7" s="22" t="s">
        <v>20</v>
      </c>
      <c r="O7" s="40" t="s">
        <v>33</v>
      </c>
      <c r="P7" s="39" t="s">
        <v>122</v>
      </c>
      <c r="Q7" s="21">
        <v>449.0</v>
      </c>
      <c r="S7" s="40"/>
      <c r="T7" s="40" t="s">
        <v>205</v>
      </c>
      <c r="U7" s="40">
        <v>200.0</v>
      </c>
      <c r="W7" s="40"/>
      <c r="X7" s="40" t="s">
        <v>122</v>
      </c>
      <c r="Y7" s="40">
        <v>382.0</v>
      </c>
    </row>
    <row r="8">
      <c r="A8" s="12" t="s">
        <v>56</v>
      </c>
      <c r="B8" s="21">
        <v>50867.0</v>
      </c>
      <c r="C8" s="21">
        <v>5472.0</v>
      </c>
      <c r="D8" s="21">
        <v>13568.0</v>
      </c>
      <c r="E8" s="21">
        <f t="shared" si="1"/>
        <v>19040</v>
      </c>
      <c r="F8" s="35">
        <f t="shared" si="2"/>
        <v>37.43</v>
      </c>
      <c r="G8" s="21">
        <v>17746.0</v>
      </c>
      <c r="H8" s="13">
        <f t="shared" si="3"/>
        <v>14081</v>
      </c>
      <c r="I8" s="21">
        <v>2088.0</v>
      </c>
      <c r="J8" s="13">
        <f t="shared" si="4"/>
        <v>11993</v>
      </c>
      <c r="K8" s="21">
        <v>0.0</v>
      </c>
      <c r="L8" s="13">
        <f t="shared" si="5"/>
        <v>50867</v>
      </c>
      <c r="M8" s="22" t="s">
        <v>20</v>
      </c>
      <c r="O8" s="40"/>
      <c r="P8" s="40" t="s">
        <v>176</v>
      </c>
      <c r="Q8" s="40">
        <v>241.0</v>
      </c>
      <c r="S8" s="40" t="s">
        <v>27</v>
      </c>
      <c r="T8" s="40" t="s">
        <v>38</v>
      </c>
      <c r="U8" s="40">
        <v>400.0</v>
      </c>
      <c r="W8" s="42"/>
      <c r="X8" s="40" t="s">
        <v>201</v>
      </c>
      <c r="Y8" s="40">
        <v>246.0</v>
      </c>
    </row>
    <row r="9">
      <c r="A9" s="12" t="s">
        <v>60</v>
      </c>
      <c r="B9" s="21">
        <v>47013.0</v>
      </c>
      <c r="C9" s="21">
        <v>6536.0</v>
      </c>
      <c r="D9" s="21">
        <v>12503.0</v>
      </c>
      <c r="E9" s="21">
        <f t="shared" si="1"/>
        <v>19039</v>
      </c>
      <c r="F9" s="35">
        <f t="shared" si="2"/>
        <v>40.5</v>
      </c>
      <c r="G9" s="21">
        <v>17382.0</v>
      </c>
      <c r="H9" s="13">
        <f t="shared" si="3"/>
        <v>10592</v>
      </c>
      <c r="I9" s="21">
        <v>1035.0</v>
      </c>
      <c r="J9" s="13">
        <f t="shared" si="4"/>
        <v>9557</v>
      </c>
      <c r="K9" s="21">
        <v>16.68</v>
      </c>
      <c r="L9" s="13">
        <f t="shared" si="5"/>
        <v>47013</v>
      </c>
      <c r="M9" s="22" t="s">
        <v>20</v>
      </c>
      <c r="O9" s="42"/>
      <c r="P9" s="40" t="s">
        <v>138</v>
      </c>
      <c r="Q9" s="40">
        <v>62.0</v>
      </c>
      <c r="S9" s="42"/>
      <c r="T9" s="40" t="s">
        <v>97</v>
      </c>
      <c r="U9" s="40">
        <v>2000.0</v>
      </c>
      <c r="W9" s="40" t="s">
        <v>25</v>
      </c>
      <c r="X9" s="40" t="s">
        <v>138</v>
      </c>
      <c r="Y9" s="40">
        <v>140.0</v>
      </c>
    </row>
    <row r="10">
      <c r="A10" s="12" t="s">
        <v>64</v>
      </c>
      <c r="B10" s="21">
        <v>59806.0</v>
      </c>
      <c r="C10" s="21">
        <v>7995.0</v>
      </c>
      <c r="D10" s="21">
        <v>15847.0</v>
      </c>
      <c r="E10" s="21">
        <f t="shared" si="1"/>
        <v>23842</v>
      </c>
      <c r="F10" s="35">
        <f t="shared" si="2"/>
        <v>39.87</v>
      </c>
      <c r="G10" s="21">
        <v>23134.0</v>
      </c>
      <c r="H10" s="13">
        <f t="shared" si="3"/>
        <v>12830</v>
      </c>
      <c r="I10" s="21">
        <v>0.0</v>
      </c>
      <c r="J10" s="13">
        <f t="shared" si="4"/>
        <v>12830</v>
      </c>
      <c r="K10" s="21">
        <v>5.51</v>
      </c>
      <c r="L10" s="13">
        <f t="shared" si="5"/>
        <v>59806</v>
      </c>
      <c r="M10" s="22" t="s">
        <v>20</v>
      </c>
      <c r="O10" s="42"/>
      <c r="P10" s="40" t="s">
        <v>54</v>
      </c>
      <c r="Q10" s="40">
        <v>8.0</v>
      </c>
      <c r="S10" s="40"/>
      <c r="T10" s="40" t="s">
        <v>208</v>
      </c>
      <c r="U10" s="40">
        <v>60.0</v>
      </c>
      <c r="W10" s="40"/>
      <c r="X10" s="40" t="s">
        <v>122</v>
      </c>
      <c r="Y10" s="40">
        <v>632.0</v>
      </c>
    </row>
    <row r="11">
      <c r="A11" s="12" t="s">
        <v>68</v>
      </c>
      <c r="B11" s="21">
        <v>57917.0</v>
      </c>
      <c r="C11" s="21">
        <v>6957.0</v>
      </c>
      <c r="D11" s="21">
        <v>10780.0</v>
      </c>
      <c r="E11" s="21">
        <f t="shared" si="1"/>
        <v>17737</v>
      </c>
      <c r="F11" s="35">
        <f t="shared" si="2"/>
        <v>30.62</v>
      </c>
      <c r="G11" s="21">
        <v>26763.0</v>
      </c>
      <c r="H11" s="13">
        <f t="shared" si="3"/>
        <v>13417</v>
      </c>
      <c r="I11" s="21">
        <v>553.0</v>
      </c>
      <c r="J11" s="13">
        <f t="shared" si="4"/>
        <v>12864</v>
      </c>
      <c r="K11" s="21">
        <v>0.0</v>
      </c>
      <c r="L11" s="13">
        <f t="shared" si="5"/>
        <v>57917</v>
      </c>
      <c r="M11" s="22" t="s">
        <v>20</v>
      </c>
      <c r="O11" s="40" t="s">
        <v>40</v>
      </c>
      <c r="P11" s="40" t="s">
        <v>176</v>
      </c>
      <c r="Q11" s="40">
        <v>122.0</v>
      </c>
      <c r="S11" s="40"/>
      <c r="T11" s="40" t="s">
        <v>122</v>
      </c>
      <c r="U11" s="40">
        <v>738.0</v>
      </c>
      <c r="W11" s="42"/>
      <c r="X11" s="40" t="s">
        <v>201</v>
      </c>
      <c r="Y11" s="40">
        <v>161.0</v>
      </c>
    </row>
    <row r="12">
      <c r="A12" s="12" t="s">
        <v>23</v>
      </c>
      <c r="B12" s="21">
        <v>98297.0</v>
      </c>
      <c r="C12" s="21">
        <v>13903.0</v>
      </c>
      <c r="D12" s="21">
        <v>23919.0</v>
      </c>
      <c r="E12" s="21">
        <f t="shared" si="1"/>
        <v>37822</v>
      </c>
      <c r="F12" s="35">
        <f t="shared" si="2"/>
        <v>38.48</v>
      </c>
      <c r="G12" s="21">
        <v>47138.0</v>
      </c>
      <c r="H12" s="13">
        <f t="shared" si="3"/>
        <v>13337</v>
      </c>
      <c r="I12" s="21">
        <v>2305.0</v>
      </c>
      <c r="J12" s="13">
        <f t="shared" si="4"/>
        <v>11032</v>
      </c>
      <c r="K12" s="21">
        <v>75.56</v>
      </c>
      <c r="L12" s="13">
        <f t="shared" si="5"/>
        <v>98297</v>
      </c>
      <c r="M12" s="22" t="s">
        <v>20</v>
      </c>
      <c r="O12" s="40"/>
      <c r="P12" s="40" t="s">
        <v>122</v>
      </c>
      <c r="Q12" s="40">
        <v>410.0</v>
      </c>
      <c r="S12" s="4" t="s">
        <v>31</v>
      </c>
      <c r="T12" s="4"/>
      <c r="U12" s="4">
        <v>107.0</v>
      </c>
      <c r="W12" s="42"/>
      <c r="X12" s="40" t="s">
        <v>97</v>
      </c>
      <c r="Y12" s="40">
        <v>2000.0</v>
      </c>
    </row>
    <row r="13">
      <c r="A13" s="12" t="s">
        <v>59</v>
      </c>
      <c r="B13" s="21">
        <v>134102.0</v>
      </c>
      <c r="C13" s="21">
        <v>20714.0</v>
      </c>
      <c r="D13" s="21">
        <v>34110.0</v>
      </c>
      <c r="E13" s="21">
        <f t="shared" si="1"/>
        <v>54824</v>
      </c>
      <c r="F13" s="35">
        <f t="shared" si="2"/>
        <v>40.88</v>
      </c>
      <c r="G13" s="21">
        <v>54650.0</v>
      </c>
      <c r="H13" s="13">
        <f t="shared" si="3"/>
        <v>24628</v>
      </c>
      <c r="I13" s="21">
        <v>896.0</v>
      </c>
      <c r="J13" s="13">
        <f t="shared" si="4"/>
        <v>23732</v>
      </c>
      <c r="K13" s="21">
        <v>54.68</v>
      </c>
      <c r="L13" s="13">
        <f t="shared" si="5"/>
        <v>134102</v>
      </c>
      <c r="M13" s="22" t="s">
        <v>20</v>
      </c>
      <c r="O13" s="40"/>
      <c r="P13" s="40" t="s">
        <v>138</v>
      </c>
      <c r="Q13" s="40">
        <v>49.0</v>
      </c>
      <c r="S13" s="40" t="s">
        <v>46</v>
      </c>
      <c r="T13" s="40" t="s">
        <v>38</v>
      </c>
      <c r="U13" s="40">
        <v>400.0</v>
      </c>
      <c r="W13" s="40" t="s">
        <v>49</v>
      </c>
      <c r="X13" s="40" t="s">
        <v>201</v>
      </c>
      <c r="Y13" s="40">
        <v>162.0</v>
      </c>
    </row>
    <row r="14">
      <c r="A14" s="12" t="s">
        <v>70</v>
      </c>
      <c r="B14" s="21">
        <v>74998.0</v>
      </c>
      <c r="C14" s="21">
        <v>10190.0</v>
      </c>
      <c r="D14" s="21">
        <v>21932.0</v>
      </c>
      <c r="E14" s="21">
        <f t="shared" si="1"/>
        <v>32122</v>
      </c>
      <c r="F14" s="35">
        <f t="shared" si="2"/>
        <v>42.83</v>
      </c>
      <c r="G14" s="21">
        <v>28737.0</v>
      </c>
      <c r="H14" s="13">
        <f t="shared" si="3"/>
        <v>14139</v>
      </c>
      <c r="I14" s="21">
        <v>2191.0</v>
      </c>
      <c r="J14" s="13">
        <f t="shared" si="4"/>
        <v>11948</v>
      </c>
      <c r="K14" s="21">
        <v>13.63</v>
      </c>
      <c r="L14" s="13">
        <f t="shared" si="5"/>
        <v>74998</v>
      </c>
      <c r="M14" s="22" t="s">
        <v>20</v>
      </c>
      <c r="O14" s="40" t="s">
        <v>47</v>
      </c>
      <c r="P14" s="39" t="s">
        <v>122</v>
      </c>
      <c r="Q14" s="40">
        <v>485.0</v>
      </c>
      <c r="S14" s="40"/>
      <c r="T14" s="40" t="s">
        <v>201</v>
      </c>
      <c r="U14" s="40">
        <v>274.0</v>
      </c>
      <c r="W14" s="40"/>
      <c r="X14" s="40" t="s">
        <v>82</v>
      </c>
      <c r="Y14" s="40">
        <v>40.0</v>
      </c>
    </row>
    <row r="15">
      <c r="A15" s="12" t="s">
        <v>75</v>
      </c>
      <c r="B15" s="21">
        <v>65272.0</v>
      </c>
      <c r="C15" s="21">
        <v>10884.0</v>
      </c>
      <c r="D15" s="21">
        <v>18848.0</v>
      </c>
      <c r="E15" s="21">
        <f t="shared" si="1"/>
        <v>29732</v>
      </c>
      <c r="F15" s="35">
        <f t="shared" si="2"/>
        <v>45.55</v>
      </c>
      <c r="G15" s="21">
        <v>25726.0</v>
      </c>
      <c r="H15" s="13">
        <f t="shared" si="3"/>
        <v>9814</v>
      </c>
      <c r="I15" s="21">
        <v>1113.0</v>
      </c>
      <c r="J15" s="13">
        <f t="shared" si="4"/>
        <v>8701</v>
      </c>
      <c r="K15" s="21">
        <v>13.8</v>
      </c>
      <c r="L15" s="13">
        <f t="shared" si="5"/>
        <v>65272</v>
      </c>
      <c r="M15" s="22" t="s">
        <v>20</v>
      </c>
      <c r="O15" s="40"/>
      <c r="P15" s="40" t="s">
        <v>176</v>
      </c>
      <c r="Q15" s="40">
        <v>301.0</v>
      </c>
      <c r="S15" s="40"/>
      <c r="T15" s="40" t="s">
        <v>122</v>
      </c>
      <c r="U15" s="40">
        <v>384.0</v>
      </c>
      <c r="W15" s="42"/>
      <c r="X15" s="40" t="s">
        <v>128</v>
      </c>
      <c r="Y15" s="40">
        <v>50.0</v>
      </c>
    </row>
    <row r="16">
      <c r="A16" s="12" t="s">
        <v>27</v>
      </c>
      <c r="B16" s="21">
        <v>56426.0</v>
      </c>
      <c r="C16" s="21">
        <v>2889.0</v>
      </c>
      <c r="D16" s="21">
        <v>8057.0</v>
      </c>
      <c r="E16" s="21">
        <f t="shared" si="1"/>
        <v>10946</v>
      </c>
      <c r="F16" s="35">
        <f t="shared" si="2"/>
        <v>19.4</v>
      </c>
      <c r="G16" s="21">
        <v>31705.0</v>
      </c>
      <c r="H16" s="13">
        <f t="shared" si="3"/>
        <v>13775</v>
      </c>
      <c r="I16" s="21">
        <v>3198.0</v>
      </c>
      <c r="J16" s="13">
        <f t="shared" si="4"/>
        <v>10577</v>
      </c>
      <c r="K16" s="21">
        <v>8.45</v>
      </c>
      <c r="L16" s="13">
        <f t="shared" si="5"/>
        <v>56426</v>
      </c>
      <c r="M16" s="22" t="s">
        <v>20</v>
      </c>
      <c r="O16" s="40"/>
      <c r="P16" s="40" t="s">
        <v>138</v>
      </c>
      <c r="Q16" s="40">
        <v>98.0</v>
      </c>
      <c r="S16" s="40"/>
      <c r="T16" s="40" t="s">
        <v>138</v>
      </c>
      <c r="U16" s="40">
        <v>98.0</v>
      </c>
      <c r="W16" s="40" t="s">
        <v>65</v>
      </c>
      <c r="X16" s="40" t="s">
        <v>138</v>
      </c>
      <c r="Y16" s="40">
        <v>97.0</v>
      </c>
    </row>
    <row r="17">
      <c r="A17" s="12" t="s">
        <v>31</v>
      </c>
      <c r="B17" s="21">
        <v>66723.0</v>
      </c>
      <c r="C17" s="21">
        <v>10996.0</v>
      </c>
      <c r="D17" s="21">
        <v>16816.0</v>
      </c>
      <c r="E17" s="21">
        <f t="shared" si="1"/>
        <v>27812</v>
      </c>
      <c r="F17" s="35">
        <f t="shared" si="2"/>
        <v>41.68</v>
      </c>
      <c r="G17" s="21">
        <v>27271.0</v>
      </c>
      <c r="H17" s="13">
        <f t="shared" si="3"/>
        <v>11640</v>
      </c>
      <c r="I17" s="21">
        <v>107.0</v>
      </c>
      <c r="J17" s="13">
        <f t="shared" si="4"/>
        <v>11533</v>
      </c>
      <c r="K17" s="21">
        <v>40.7</v>
      </c>
      <c r="L17" s="13">
        <f t="shared" si="5"/>
        <v>66723</v>
      </c>
      <c r="M17" s="22" t="s">
        <v>20</v>
      </c>
      <c r="O17" s="42"/>
      <c r="P17" s="40" t="s">
        <v>54</v>
      </c>
      <c r="Q17" s="40">
        <v>9.0</v>
      </c>
      <c r="S17" s="40" t="s">
        <v>51</v>
      </c>
      <c r="T17" s="40" t="s">
        <v>201</v>
      </c>
      <c r="U17" s="40">
        <v>99.0</v>
      </c>
      <c r="W17" s="42"/>
      <c r="X17" s="40" t="s">
        <v>122</v>
      </c>
      <c r="Y17" s="40">
        <v>632.0</v>
      </c>
    </row>
    <row r="18">
      <c r="A18" s="12" t="s">
        <v>46</v>
      </c>
      <c r="B18" s="21">
        <v>60567.0</v>
      </c>
      <c r="C18" s="21">
        <v>12796.0</v>
      </c>
      <c r="D18" s="21">
        <v>12544.0</v>
      </c>
      <c r="E18" s="21">
        <f t="shared" si="1"/>
        <v>25340</v>
      </c>
      <c r="F18" s="35">
        <f t="shared" si="2"/>
        <v>41.84</v>
      </c>
      <c r="G18" s="21">
        <v>25609.0</v>
      </c>
      <c r="H18" s="13">
        <f t="shared" si="3"/>
        <v>9618</v>
      </c>
      <c r="I18" s="21">
        <v>1156.0</v>
      </c>
      <c r="J18" s="13">
        <f t="shared" si="4"/>
        <v>8462</v>
      </c>
      <c r="K18" s="21">
        <v>0.0</v>
      </c>
      <c r="L18" s="13">
        <f t="shared" si="5"/>
        <v>60567</v>
      </c>
      <c r="M18" s="22" t="s">
        <v>20</v>
      </c>
      <c r="O18" s="40" t="s">
        <v>52</v>
      </c>
      <c r="P18" s="40" t="s">
        <v>176</v>
      </c>
      <c r="Q18" s="40">
        <v>237.0</v>
      </c>
      <c r="S18" s="42"/>
      <c r="T18" s="40" t="s">
        <v>122</v>
      </c>
      <c r="U18" s="40">
        <v>480.0</v>
      </c>
      <c r="W18" s="42"/>
      <c r="X18" s="40" t="s">
        <v>201</v>
      </c>
      <c r="Y18" s="40">
        <v>202.0</v>
      </c>
    </row>
    <row r="19">
      <c r="A19" s="12" t="s">
        <v>51</v>
      </c>
      <c r="B19" s="21">
        <v>98204.0</v>
      </c>
      <c r="C19" s="21">
        <v>9016.0</v>
      </c>
      <c r="D19" s="21">
        <v>28250.0</v>
      </c>
      <c r="E19" s="21">
        <f t="shared" si="1"/>
        <v>37266</v>
      </c>
      <c r="F19" s="35">
        <f t="shared" si="2"/>
        <v>37.95</v>
      </c>
      <c r="G19" s="21">
        <v>41491.0</v>
      </c>
      <c r="H19" s="13">
        <f t="shared" si="3"/>
        <v>19447</v>
      </c>
      <c r="I19" s="21">
        <v>579.0</v>
      </c>
      <c r="J19" s="13">
        <f t="shared" si="4"/>
        <v>18868</v>
      </c>
      <c r="K19" s="21">
        <v>59.53</v>
      </c>
      <c r="L19" s="13">
        <f t="shared" si="5"/>
        <v>98204</v>
      </c>
      <c r="M19" s="22" t="s">
        <v>20</v>
      </c>
      <c r="O19" s="42"/>
      <c r="P19" s="40" t="s">
        <v>122</v>
      </c>
      <c r="Q19" s="40">
        <v>356.0</v>
      </c>
      <c r="S19" s="40" t="s">
        <v>57</v>
      </c>
      <c r="T19" s="40" t="s">
        <v>97</v>
      </c>
      <c r="U19" s="40">
        <v>2000.0</v>
      </c>
      <c r="W19" s="40" t="s">
        <v>101</v>
      </c>
      <c r="X19" s="40" t="s">
        <v>138</v>
      </c>
      <c r="Y19" s="40">
        <v>67.0</v>
      </c>
    </row>
    <row r="20">
      <c r="A20" s="12" t="s">
        <v>57</v>
      </c>
      <c r="B20" s="21">
        <v>127010.0</v>
      </c>
      <c r="C20" s="21">
        <v>7703.0</v>
      </c>
      <c r="D20" s="21">
        <v>37705.0</v>
      </c>
      <c r="E20" s="21">
        <f t="shared" si="1"/>
        <v>45408</v>
      </c>
      <c r="F20" s="35">
        <f t="shared" si="2"/>
        <v>35.75</v>
      </c>
      <c r="G20" s="21">
        <v>50838.0</v>
      </c>
      <c r="H20" s="13">
        <f t="shared" si="3"/>
        <v>30764</v>
      </c>
      <c r="I20" s="21">
        <v>2818.0</v>
      </c>
      <c r="J20" s="13">
        <f t="shared" si="4"/>
        <v>27946</v>
      </c>
      <c r="K20" s="21">
        <v>42.19</v>
      </c>
      <c r="L20" s="13">
        <f t="shared" si="5"/>
        <v>127010</v>
      </c>
      <c r="M20" s="22" t="s">
        <v>20</v>
      </c>
      <c r="O20" s="40"/>
      <c r="P20" s="40" t="s">
        <v>138</v>
      </c>
      <c r="Q20" s="40">
        <v>65.0</v>
      </c>
      <c r="S20" s="42"/>
      <c r="T20" s="40" t="s">
        <v>138</v>
      </c>
      <c r="U20" s="40">
        <v>102.0</v>
      </c>
      <c r="W20" s="42"/>
      <c r="X20" s="40" t="s">
        <v>122</v>
      </c>
      <c r="Y20" s="40">
        <v>389.0</v>
      </c>
    </row>
    <row r="21">
      <c r="A21" s="12" t="s">
        <v>62</v>
      </c>
      <c r="B21" s="21">
        <v>53657.0</v>
      </c>
      <c r="C21" s="21">
        <v>3771.0</v>
      </c>
      <c r="D21" s="21">
        <v>17485.0</v>
      </c>
      <c r="E21" s="21">
        <f t="shared" si="1"/>
        <v>21256</v>
      </c>
      <c r="F21" s="35">
        <f t="shared" si="2"/>
        <v>39.61</v>
      </c>
      <c r="G21" s="21">
        <v>21737.0</v>
      </c>
      <c r="H21" s="13">
        <f t="shared" si="3"/>
        <v>10664</v>
      </c>
      <c r="I21" s="21">
        <v>755.0</v>
      </c>
      <c r="J21" s="13">
        <f t="shared" si="4"/>
        <v>9909</v>
      </c>
      <c r="K21" s="21">
        <v>16.02</v>
      </c>
      <c r="L21" s="13">
        <f t="shared" si="5"/>
        <v>53657</v>
      </c>
      <c r="M21" s="22" t="s">
        <v>20</v>
      </c>
      <c r="O21" s="42"/>
      <c r="P21" s="40" t="s">
        <v>54</v>
      </c>
      <c r="Q21" s="40">
        <v>9.0</v>
      </c>
      <c r="S21" s="40"/>
      <c r="T21" s="48" t="s">
        <v>201</v>
      </c>
      <c r="U21" s="40">
        <v>238.0</v>
      </c>
      <c r="W21" s="42"/>
      <c r="X21" s="40" t="s">
        <v>201</v>
      </c>
      <c r="Y21" s="40">
        <v>91.0</v>
      </c>
    </row>
    <row r="22">
      <c r="A22" s="12" t="s">
        <v>67</v>
      </c>
      <c r="B22" s="21">
        <v>58038.0</v>
      </c>
      <c r="C22" s="21">
        <v>3255.0</v>
      </c>
      <c r="D22" s="21">
        <v>14726.0</v>
      </c>
      <c r="E22" s="21">
        <f t="shared" si="1"/>
        <v>17981</v>
      </c>
      <c r="F22" s="35">
        <f t="shared" si="2"/>
        <v>30.98</v>
      </c>
      <c r="G22" s="34">
        <v>25097.0</v>
      </c>
      <c r="H22" s="13">
        <f t="shared" si="3"/>
        <v>14960</v>
      </c>
      <c r="I22" s="21">
        <v>690.0</v>
      </c>
      <c r="J22" s="13">
        <f t="shared" si="4"/>
        <v>14270</v>
      </c>
      <c r="K22" s="21">
        <v>6.53</v>
      </c>
      <c r="L22" s="13">
        <f t="shared" si="5"/>
        <v>58038</v>
      </c>
      <c r="M22" s="22" t="s">
        <v>20</v>
      </c>
      <c r="N22" s="45"/>
      <c r="O22" s="42"/>
      <c r="P22" s="40" t="s">
        <v>128</v>
      </c>
      <c r="Q22" s="40">
        <v>200.0</v>
      </c>
      <c r="S22" s="40"/>
      <c r="T22" s="40" t="s">
        <v>122</v>
      </c>
      <c r="U22" s="40">
        <v>478.0</v>
      </c>
      <c r="W22" s="42"/>
      <c r="X22" s="40" t="s">
        <v>201</v>
      </c>
      <c r="Y22" s="40">
        <v>98.0</v>
      </c>
    </row>
    <row r="23">
      <c r="A23" s="12" t="s">
        <v>74</v>
      </c>
      <c r="B23" s="21">
        <v>55881.0</v>
      </c>
      <c r="C23" s="21">
        <v>5172.0</v>
      </c>
      <c r="D23" s="21">
        <v>12930.0</v>
      </c>
      <c r="E23" s="21">
        <f t="shared" si="1"/>
        <v>18102</v>
      </c>
      <c r="F23" s="35">
        <f t="shared" si="2"/>
        <v>32.39</v>
      </c>
      <c r="G23" s="21">
        <v>26065.0</v>
      </c>
      <c r="H23" s="13">
        <f t="shared" si="3"/>
        <v>11714</v>
      </c>
      <c r="I23" s="21">
        <v>843.0</v>
      </c>
      <c r="J23" s="13">
        <f t="shared" si="4"/>
        <v>10871</v>
      </c>
      <c r="K23" s="21">
        <v>13.94</v>
      </c>
      <c r="L23" s="13">
        <f t="shared" si="5"/>
        <v>55881</v>
      </c>
      <c r="M23" s="22" t="s">
        <v>20</v>
      </c>
      <c r="O23" s="40" t="s">
        <v>56</v>
      </c>
      <c r="P23" s="40" t="s">
        <v>97</v>
      </c>
      <c r="Q23" s="40">
        <v>2000.0</v>
      </c>
      <c r="S23" s="40" t="s">
        <v>62</v>
      </c>
      <c r="T23" s="40" t="s">
        <v>138</v>
      </c>
      <c r="U23" s="40">
        <v>104.0</v>
      </c>
      <c r="W23" s="40" t="s">
        <v>110</v>
      </c>
      <c r="X23" s="40" t="s">
        <v>138</v>
      </c>
      <c r="Y23" s="40">
        <v>74.0</v>
      </c>
    </row>
    <row r="24">
      <c r="A24" s="12" t="s">
        <v>77</v>
      </c>
      <c r="B24" s="21">
        <v>57516.0</v>
      </c>
      <c r="C24" s="21">
        <v>8300.0</v>
      </c>
      <c r="D24" s="21">
        <v>17498.0</v>
      </c>
      <c r="E24" s="21">
        <f t="shared" si="1"/>
        <v>25798</v>
      </c>
      <c r="F24" s="35">
        <f t="shared" si="2"/>
        <v>44.85</v>
      </c>
      <c r="G24" s="21">
        <v>23211.0</v>
      </c>
      <c r="H24" s="13">
        <f t="shared" si="3"/>
        <v>8507</v>
      </c>
      <c r="I24" s="21">
        <v>964.0</v>
      </c>
      <c r="J24" s="13">
        <f t="shared" si="4"/>
        <v>7543</v>
      </c>
      <c r="K24" s="21">
        <v>28.08</v>
      </c>
      <c r="L24" s="13">
        <f t="shared" si="5"/>
        <v>57516</v>
      </c>
      <c r="M24" s="22" t="s">
        <v>20</v>
      </c>
      <c r="O24" s="42"/>
      <c r="P24" s="40" t="s">
        <v>138</v>
      </c>
      <c r="Q24" s="40">
        <v>80.0</v>
      </c>
      <c r="S24" s="40"/>
      <c r="T24" s="48" t="s">
        <v>201</v>
      </c>
      <c r="U24" s="40">
        <v>171.0</v>
      </c>
      <c r="W24" s="42"/>
      <c r="X24" s="40" t="s">
        <v>122</v>
      </c>
      <c r="Y24" s="40">
        <v>743.0</v>
      </c>
    </row>
    <row r="25">
      <c r="A25" s="12" t="s">
        <v>88</v>
      </c>
      <c r="B25" s="21">
        <v>74722.0</v>
      </c>
      <c r="C25" s="21">
        <v>6646.0</v>
      </c>
      <c r="D25" s="21">
        <v>23369.0</v>
      </c>
      <c r="E25" s="21">
        <f t="shared" si="1"/>
        <v>30015</v>
      </c>
      <c r="F25" s="35">
        <f t="shared" si="2"/>
        <v>40.17</v>
      </c>
      <c r="G25" s="21">
        <v>28573.0</v>
      </c>
      <c r="H25" s="13">
        <f t="shared" si="3"/>
        <v>16134</v>
      </c>
      <c r="I25" s="21">
        <v>1022.0</v>
      </c>
      <c r="J25" s="13">
        <f t="shared" si="4"/>
        <v>15112</v>
      </c>
      <c r="K25" s="21">
        <v>26.69</v>
      </c>
      <c r="L25" s="13">
        <f t="shared" si="5"/>
        <v>74722</v>
      </c>
      <c r="M25" s="22" t="s">
        <v>20</v>
      </c>
      <c r="O25" s="40"/>
      <c r="P25" s="40" t="s">
        <v>35</v>
      </c>
      <c r="Q25" s="40">
        <v>8.0</v>
      </c>
      <c r="S25" s="42"/>
      <c r="T25" s="40" t="s">
        <v>122</v>
      </c>
      <c r="U25" s="40">
        <v>480.0</v>
      </c>
      <c r="W25" s="42"/>
      <c r="X25" s="40" t="s">
        <v>201</v>
      </c>
      <c r="Y25" s="40">
        <v>90.0</v>
      </c>
    </row>
    <row r="26">
      <c r="A26" s="12" t="s">
        <v>98</v>
      </c>
      <c r="B26" s="21">
        <v>87055.0</v>
      </c>
      <c r="C26" s="21">
        <v>7770.0</v>
      </c>
      <c r="D26" s="21">
        <v>18036.0</v>
      </c>
      <c r="E26" s="21">
        <f t="shared" si="1"/>
        <v>25806</v>
      </c>
      <c r="F26" s="35">
        <f t="shared" si="2"/>
        <v>29.64</v>
      </c>
      <c r="G26" s="21">
        <v>42405.0</v>
      </c>
      <c r="H26" s="13">
        <f t="shared" si="3"/>
        <v>18844</v>
      </c>
      <c r="I26" s="21">
        <v>720.0</v>
      </c>
      <c r="J26" s="13">
        <f t="shared" si="4"/>
        <v>18124</v>
      </c>
      <c r="K26" s="21">
        <v>4.24</v>
      </c>
      <c r="L26" s="13">
        <f t="shared" si="5"/>
        <v>87055</v>
      </c>
      <c r="M26" s="22" t="s">
        <v>20</v>
      </c>
      <c r="O26" s="40" t="s">
        <v>60</v>
      </c>
      <c r="P26" s="40" t="s">
        <v>22</v>
      </c>
      <c r="Q26" s="40">
        <v>533.0</v>
      </c>
      <c r="S26" s="40" t="s">
        <v>67</v>
      </c>
      <c r="T26" s="40" t="s">
        <v>201</v>
      </c>
      <c r="U26" s="40">
        <v>153.0</v>
      </c>
      <c r="W26" s="15"/>
      <c r="X26" s="15"/>
      <c r="Y26" s="15"/>
    </row>
    <row r="27">
      <c r="A27" s="12" t="s">
        <v>25</v>
      </c>
      <c r="B27" s="21">
        <v>110878.0</v>
      </c>
      <c r="C27" s="21">
        <v>10788.0</v>
      </c>
      <c r="D27" s="21">
        <v>28051.0</v>
      </c>
      <c r="E27" s="21">
        <f t="shared" si="1"/>
        <v>38839</v>
      </c>
      <c r="F27" s="35">
        <f t="shared" si="2"/>
        <v>35.03</v>
      </c>
      <c r="G27" s="21">
        <v>44482.0</v>
      </c>
      <c r="H27" s="13">
        <f t="shared" si="3"/>
        <v>27557</v>
      </c>
      <c r="I27" s="21">
        <v>2933.0</v>
      </c>
      <c r="J27" s="13">
        <f t="shared" si="4"/>
        <v>24624</v>
      </c>
      <c r="K27" s="21">
        <v>37.31</v>
      </c>
      <c r="L27" s="13">
        <f t="shared" si="5"/>
        <v>110878</v>
      </c>
      <c r="M27" s="22" t="s">
        <v>20</v>
      </c>
      <c r="O27" s="40"/>
      <c r="P27" s="40" t="s">
        <v>35</v>
      </c>
      <c r="Q27" s="40">
        <v>10.0</v>
      </c>
      <c r="S27" s="40"/>
      <c r="T27" s="40" t="s">
        <v>122</v>
      </c>
      <c r="U27" s="40">
        <v>482.0</v>
      </c>
      <c r="W27" s="15"/>
      <c r="X27" s="15"/>
      <c r="Y27" s="15"/>
    </row>
    <row r="28">
      <c r="A28" s="12" t="s">
        <v>49</v>
      </c>
      <c r="B28" s="21">
        <v>59753.0</v>
      </c>
      <c r="C28" s="21">
        <v>5905.0</v>
      </c>
      <c r="D28" s="21">
        <v>13352.0</v>
      </c>
      <c r="E28" s="21">
        <f t="shared" si="1"/>
        <v>19257</v>
      </c>
      <c r="F28" s="35">
        <f t="shared" si="2"/>
        <v>32.23</v>
      </c>
      <c r="G28" s="21">
        <v>20978.0</v>
      </c>
      <c r="H28" s="13">
        <f t="shared" si="3"/>
        <v>19518</v>
      </c>
      <c r="I28" s="21">
        <v>252.0</v>
      </c>
      <c r="J28" s="13">
        <f t="shared" si="4"/>
        <v>19266</v>
      </c>
      <c r="K28" s="21">
        <v>0.0</v>
      </c>
      <c r="L28" s="13">
        <f t="shared" si="5"/>
        <v>59753</v>
      </c>
      <c r="M28" s="22" t="s">
        <v>20</v>
      </c>
      <c r="O28" s="42"/>
      <c r="P28" s="40" t="s">
        <v>122</v>
      </c>
      <c r="Q28" s="40">
        <v>358.0</v>
      </c>
      <c r="S28" s="42"/>
      <c r="T28" s="40" t="s">
        <v>213</v>
      </c>
      <c r="U28" s="40">
        <v>55.0</v>
      </c>
      <c r="W28" s="15"/>
      <c r="X28" s="15"/>
      <c r="Y28" s="15"/>
    </row>
    <row r="29">
      <c r="A29" s="12" t="s">
        <v>65</v>
      </c>
      <c r="B29" s="21">
        <v>55155.0</v>
      </c>
      <c r="C29" s="21">
        <v>7228.0</v>
      </c>
      <c r="D29" s="21">
        <v>14012.0</v>
      </c>
      <c r="E29" s="21">
        <f t="shared" si="1"/>
        <v>21240</v>
      </c>
      <c r="F29" s="35">
        <f t="shared" si="2"/>
        <v>38.51</v>
      </c>
      <c r="G29" s="21">
        <v>21471.0</v>
      </c>
      <c r="H29" s="13">
        <f t="shared" si="3"/>
        <v>12444</v>
      </c>
      <c r="I29" s="21">
        <v>931.0</v>
      </c>
      <c r="J29" s="13">
        <f t="shared" si="4"/>
        <v>11513</v>
      </c>
      <c r="K29" s="21">
        <v>38.01</v>
      </c>
      <c r="L29" s="13">
        <f t="shared" si="5"/>
        <v>55155</v>
      </c>
      <c r="M29" s="22" t="s">
        <v>20</v>
      </c>
      <c r="O29" s="42"/>
      <c r="P29" s="40" t="s">
        <v>138</v>
      </c>
      <c r="Q29" s="40">
        <v>55.0</v>
      </c>
      <c r="S29" s="40" t="s">
        <v>74</v>
      </c>
      <c r="T29" s="40" t="s">
        <v>122</v>
      </c>
      <c r="U29" s="40">
        <v>387.0</v>
      </c>
      <c r="W29" s="15"/>
      <c r="X29" s="15"/>
      <c r="Y29" s="15"/>
    </row>
    <row r="30">
      <c r="A30" s="22" t="s">
        <v>101</v>
      </c>
      <c r="B30" s="21">
        <v>65421.0</v>
      </c>
      <c r="C30" s="21">
        <v>4302.0</v>
      </c>
      <c r="D30" s="21">
        <v>15446.0</v>
      </c>
      <c r="E30" s="21">
        <f t="shared" si="1"/>
        <v>19748</v>
      </c>
      <c r="F30" s="35">
        <f t="shared" si="2"/>
        <v>30.19</v>
      </c>
      <c r="G30" s="21">
        <v>31890.0</v>
      </c>
      <c r="H30" s="13">
        <f t="shared" si="3"/>
        <v>13783</v>
      </c>
      <c r="I30" s="21">
        <v>645.0</v>
      </c>
      <c r="J30" s="13">
        <f t="shared" si="4"/>
        <v>13138</v>
      </c>
      <c r="K30" s="21">
        <v>33.96</v>
      </c>
      <c r="L30" s="13">
        <f t="shared" si="5"/>
        <v>65421</v>
      </c>
      <c r="M30" s="22" t="s">
        <v>20</v>
      </c>
      <c r="O30" s="40"/>
      <c r="P30" s="40" t="s">
        <v>176</v>
      </c>
      <c r="Q30" s="40">
        <v>79.0</v>
      </c>
      <c r="S30" s="40"/>
      <c r="T30" s="40" t="s">
        <v>201</v>
      </c>
      <c r="U30" s="40">
        <v>175.0</v>
      </c>
      <c r="W30" s="15"/>
      <c r="X30" s="15"/>
      <c r="Y30" s="15"/>
    </row>
    <row r="31">
      <c r="A31" s="22" t="s">
        <v>110</v>
      </c>
      <c r="B31" s="21">
        <v>55584.0</v>
      </c>
      <c r="C31" s="21">
        <v>3219.0</v>
      </c>
      <c r="D31" s="21">
        <v>14236.0</v>
      </c>
      <c r="E31" s="21">
        <f t="shared" si="1"/>
        <v>17455</v>
      </c>
      <c r="F31" s="35">
        <f t="shared" si="2"/>
        <v>31.4</v>
      </c>
      <c r="G31" s="21">
        <v>27710.0</v>
      </c>
      <c r="H31" s="13">
        <f t="shared" si="3"/>
        <v>10419</v>
      </c>
      <c r="I31" s="21">
        <v>907.0</v>
      </c>
      <c r="J31" s="13">
        <f t="shared" si="4"/>
        <v>9512</v>
      </c>
      <c r="K31" s="21">
        <v>229.78</v>
      </c>
      <c r="L31" s="13">
        <f t="shared" si="5"/>
        <v>55584</v>
      </c>
      <c r="M31" s="22" t="s">
        <v>20</v>
      </c>
      <c r="O31" s="40" t="s">
        <v>64</v>
      </c>
      <c r="P31" s="40"/>
      <c r="Q31" s="40">
        <v>0.0</v>
      </c>
      <c r="S31" s="42"/>
      <c r="T31" s="40" t="s">
        <v>138</v>
      </c>
      <c r="U31" s="40">
        <v>81.0</v>
      </c>
      <c r="W31" s="15"/>
      <c r="X31" s="15"/>
      <c r="Y31" s="15"/>
    </row>
    <row r="32">
      <c r="A32" s="22" t="s">
        <v>121</v>
      </c>
      <c r="B32" s="21">
        <v>49152.0</v>
      </c>
      <c r="C32" s="21">
        <v>5774.0</v>
      </c>
      <c r="D32" s="21">
        <v>11113.0</v>
      </c>
      <c r="E32" s="21">
        <f t="shared" si="1"/>
        <v>16887</v>
      </c>
      <c r="F32" s="35">
        <f t="shared" si="2"/>
        <v>34.36</v>
      </c>
      <c r="G32" s="21">
        <v>22328.0</v>
      </c>
      <c r="H32" s="13">
        <f t="shared" si="3"/>
        <v>9937</v>
      </c>
      <c r="I32" s="48">
        <v>446.0</v>
      </c>
      <c r="J32" s="13">
        <f t="shared" si="4"/>
        <v>9491</v>
      </c>
      <c r="K32" s="21">
        <v>27.05</v>
      </c>
      <c r="L32" s="13">
        <f t="shared" si="5"/>
        <v>49152</v>
      </c>
      <c r="M32" s="22" t="s">
        <v>20</v>
      </c>
      <c r="O32" s="40" t="s">
        <v>68</v>
      </c>
      <c r="P32" s="40" t="s">
        <v>22</v>
      </c>
      <c r="Q32" s="40">
        <v>523.0</v>
      </c>
      <c r="S32" s="42"/>
      <c r="T32" s="40" t="s">
        <v>127</v>
      </c>
      <c r="U32" s="40">
        <v>200.0</v>
      </c>
      <c r="W32" s="15"/>
      <c r="X32" s="15"/>
      <c r="Y32" s="15"/>
    </row>
    <row r="33">
      <c r="A33" s="28"/>
      <c r="B33" s="29">
        <f t="shared" ref="B33:C33" si="6">SUM(B2:B32)</f>
        <v>2173608</v>
      </c>
      <c r="C33" s="29">
        <f t="shared" si="6"/>
        <v>257138</v>
      </c>
      <c r="D33" s="29">
        <f>sum(D2:D32)</f>
        <v>549731</v>
      </c>
      <c r="E33" s="29">
        <f>sum(E2:E31)</f>
        <v>789982</v>
      </c>
      <c r="F33" s="29">
        <f t="shared" si="2"/>
        <v>36.34</v>
      </c>
      <c r="G33" s="29">
        <f t="shared" ref="G33:K33" si="7">SUM(G2:G29)</f>
        <v>842123</v>
      </c>
      <c r="H33" s="29">
        <f t="shared" si="7"/>
        <v>408549</v>
      </c>
      <c r="I33" s="29">
        <f t="shared" si="7"/>
        <v>31533</v>
      </c>
      <c r="J33" s="29">
        <f t="shared" si="7"/>
        <v>377016</v>
      </c>
      <c r="K33" s="29">
        <f t="shared" si="7"/>
        <v>762.18</v>
      </c>
      <c r="L33" s="29">
        <f>SUM(L2:L31)</f>
        <v>2124456</v>
      </c>
      <c r="M33" s="29"/>
      <c r="O33" s="40"/>
      <c r="P33" s="40" t="s">
        <v>214</v>
      </c>
      <c r="Q33" s="40">
        <v>553.0</v>
      </c>
      <c r="S33" s="40" t="s">
        <v>77</v>
      </c>
      <c r="T33" s="40" t="s">
        <v>138</v>
      </c>
      <c r="U33" s="40">
        <v>84.0</v>
      </c>
      <c r="W33" s="15"/>
      <c r="X33" s="15"/>
      <c r="Y33" s="15"/>
    </row>
    <row r="34">
      <c r="O34" s="40" t="s">
        <v>23</v>
      </c>
      <c r="P34" s="40" t="s">
        <v>35</v>
      </c>
      <c r="Q34" s="40">
        <v>10.0</v>
      </c>
      <c r="S34" s="40"/>
      <c r="T34" s="40" t="s">
        <v>122</v>
      </c>
      <c r="U34" s="40">
        <v>677.0</v>
      </c>
      <c r="W34" s="15"/>
      <c r="X34" s="15"/>
      <c r="Y34" s="15"/>
    </row>
    <row r="35">
      <c r="O35" s="42"/>
      <c r="P35" s="40" t="s">
        <v>215</v>
      </c>
      <c r="Q35" s="40">
        <v>250.0</v>
      </c>
      <c r="S35" s="42"/>
      <c r="T35" s="40" t="s">
        <v>201</v>
      </c>
      <c r="U35" s="40">
        <v>203.0</v>
      </c>
      <c r="W35" s="15"/>
      <c r="X35" s="15"/>
      <c r="Y35" s="15"/>
    </row>
    <row r="36">
      <c r="E36" s="14">
        <f>(B33-E33)</f>
        <v>1383626</v>
      </c>
      <c r="O36" s="42"/>
      <c r="P36" s="40" t="s">
        <v>22</v>
      </c>
      <c r="Q36" s="40">
        <v>2045.0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75"/>
    <col customWidth="1" min="3" max="3" width="7.63"/>
    <col customWidth="1" min="4" max="4" width="7.75"/>
    <col customWidth="1" min="5" max="5" width="7.63"/>
    <col customWidth="1" min="6" max="6" width="9.13"/>
    <col customWidth="1" min="7" max="8" width="7.63"/>
    <col customWidth="1" min="9" max="9" width="9.75"/>
    <col customWidth="1" min="10" max="10" width="14.5"/>
    <col customWidth="1" min="11" max="11" width="8.5"/>
    <col customWidth="1" min="12" max="12" width="8.75"/>
    <col customWidth="1" min="13" max="13" width="15.5"/>
    <col customWidth="1" min="14" max="14" width="12.63"/>
    <col customWidth="1" min="15" max="15" width="5.25"/>
    <col customWidth="1" min="16" max="16" width="10.63"/>
    <col customWidth="1" min="17" max="17" width="7.88"/>
    <col customWidth="1" min="18" max="18" width="12.63"/>
    <col customWidth="1" min="19" max="19" width="5.25"/>
    <col customWidth="1" min="20" max="20" width="10.88"/>
    <col customWidth="1" min="21" max="21" width="7.88"/>
    <col customWidth="1" min="22" max="22" width="12.63"/>
    <col customWidth="1" min="23" max="23" width="5.25"/>
    <col customWidth="1" min="24" max="24" width="10.63"/>
    <col customWidth="1" min="25" max="25" width="7.88"/>
    <col customWidth="1" min="26" max="29" width="12.63"/>
  </cols>
  <sheetData>
    <row r="1">
      <c r="A1" s="3" t="s">
        <v>1</v>
      </c>
      <c r="B1" s="3" t="s">
        <v>5</v>
      </c>
      <c r="C1" s="27" t="s">
        <v>114</v>
      </c>
      <c r="D1" s="27" t="s">
        <v>115</v>
      </c>
      <c r="E1" s="27" t="s">
        <v>193</v>
      </c>
      <c r="F1" s="27" t="s">
        <v>194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O1" s="8" t="s">
        <v>1</v>
      </c>
      <c r="P1" s="8" t="s">
        <v>14</v>
      </c>
      <c r="Q1" s="8" t="s">
        <v>15</v>
      </c>
      <c r="S1" s="8" t="s">
        <v>1</v>
      </c>
      <c r="T1" s="8" t="s">
        <v>14</v>
      </c>
      <c r="U1" s="8" t="s">
        <v>15</v>
      </c>
      <c r="W1" s="8" t="s">
        <v>1</v>
      </c>
      <c r="X1" s="8" t="s">
        <v>14</v>
      </c>
      <c r="Y1" s="8" t="s">
        <v>15</v>
      </c>
    </row>
    <row r="2">
      <c r="A2" s="12" t="s">
        <v>16</v>
      </c>
      <c r="B2" s="21">
        <v>85567.0</v>
      </c>
      <c r="C2" s="21">
        <v>8937.0</v>
      </c>
      <c r="D2" s="21">
        <v>25147.0</v>
      </c>
      <c r="E2" s="21">
        <f t="shared" ref="E2:E32" si="1">sum(C2:D2)</f>
        <v>34084</v>
      </c>
      <c r="F2" s="35">
        <f t="shared" ref="F2:F33" si="2">if((E2&gt;0),round((E2/B2)*100, 2) , 0)</f>
        <v>39.83</v>
      </c>
      <c r="G2" s="21">
        <v>39907.0</v>
      </c>
      <c r="H2" s="13">
        <f t="shared" ref="H2:H32" si="3">(B2-E2-G2)</f>
        <v>11576</v>
      </c>
      <c r="I2" s="21">
        <v>1135.0</v>
      </c>
      <c r="J2" s="13">
        <f t="shared" ref="J2:J32" si="4">sum(H2-I2)</f>
        <v>10441</v>
      </c>
      <c r="K2" s="21">
        <v>68.6</v>
      </c>
      <c r="L2" s="13">
        <f t="shared" ref="L2:L32" si="5">sum(C2+D2+G2+H2)</f>
        <v>85567</v>
      </c>
      <c r="M2" s="22" t="s">
        <v>20</v>
      </c>
      <c r="O2" s="39" t="s">
        <v>16</v>
      </c>
      <c r="P2" s="39" t="s">
        <v>176</v>
      </c>
      <c r="Q2" s="21">
        <v>326.0</v>
      </c>
      <c r="S2" s="39" t="s">
        <v>23</v>
      </c>
      <c r="T2" s="40"/>
      <c r="U2" s="40">
        <v>0.0</v>
      </c>
      <c r="W2" s="39" t="s">
        <v>74</v>
      </c>
      <c r="X2" s="40" t="s">
        <v>176</v>
      </c>
      <c r="Y2" s="40">
        <v>167.0</v>
      </c>
    </row>
    <row r="3">
      <c r="A3" s="49" t="s">
        <v>28</v>
      </c>
      <c r="B3" s="50">
        <v>129352.0</v>
      </c>
      <c r="C3" s="50">
        <v>13145.0</v>
      </c>
      <c r="D3" s="50">
        <v>32500.0</v>
      </c>
      <c r="E3" s="50">
        <f t="shared" si="1"/>
        <v>45645</v>
      </c>
      <c r="F3" s="51">
        <f t="shared" si="2"/>
        <v>35.29</v>
      </c>
      <c r="G3" s="50">
        <v>59951.0</v>
      </c>
      <c r="H3" s="52">
        <f t="shared" si="3"/>
        <v>23756</v>
      </c>
      <c r="I3" s="50">
        <v>1300.0</v>
      </c>
      <c r="J3" s="52">
        <f t="shared" si="4"/>
        <v>22456</v>
      </c>
      <c r="K3" s="50">
        <v>77.97</v>
      </c>
      <c r="L3" s="52">
        <f t="shared" si="5"/>
        <v>129352</v>
      </c>
      <c r="M3" s="49" t="s">
        <v>216</v>
      </c>
      <c r="O3" s="40"/>
      <c r="P3" s="40" t="s">
        <v>138</v>
      </c>
      <c r="Q3" s="40">
        <v>83.0</v>
      </c>
      <c r="S3" s="40" t="s">
        <v>59</v>
      </c>
      <c r="T3" s="40" t="s">
        <v>217</v>
      </c>
      <c r="U3" s="40">
        <v>100.0</v>
      </c>
      <c r="W3" s="40"/>
      <c r="X3" s="40" t="s">
        <v>122</v>
      </c>
      <c r="Y3" s="40">
        <v>630.0</v>
      </c>
    </row>
    <row r="4">
      <c r="A4" s="53" t="s">
        <v>33</v>
      </c>
      <c r="B4" s="54">
        <v>52832.0</v>
      </c>
      <c r="C4" s="54">
        <v>3599.0</v>
      </c>
      <c r="D4" s="54">
        <v>15552.0</v>
      </c>
      <c r="E4" s="54">
        <f t="shared" si="1"/>
        <v>19151</v>
      </c>
      <c r="F4" s="55">
        <f t="shared" si="2"/>
        <v>36.25</v>
      </c>
      <c r="G4" s="54">
        <v>21300.0</v>
      </c>
      <c r="H4" s="56">
        <f t="shared" si="3"/>
        <v>12381</v>
      </c>
      <c r="I4" s="54">
        <v>3535.0</v>
      </c>
      <c r="J4" s="56">
        <f t="shared" si="4"/>
        <v>8846</v>
      </c>
      <c r="K4" s="54">
        <v>1.81</v>
      </c>
      <c r="L4" s="56">
        <f t="shared" si="5"/>
        <v>52832</v>
      </c>
      <c r="M4" s="53" t="s">
        <v>20</v>
      </c>
      <c r="O4" s="40"/>
      <c r="P4" s="40" t="s">
        <v>122</v>
      </c>
      <c r="Q4" s="40">
        <v>726.0</v>
      </c>
      <c r="S4" s="40"/>
      <c r="T4" s="40" t="s">
        <v>176</v>
      </c>
      <c r="U4" s="40">
        <v>363.0</v>
      </c>
      <c r="W4" s="40"/>
      <c r="X4" s="40" t="s">
        <v>138</v>
      </c>
      <c r="Y4" s="40">
        <v>99.0</v>
      </c>
    </row>
    <row r="5">
      <c r="A5" s="12" t="s">
        <v>40</v>
      </c>
      <c r="B5" s="21">
        <v>48578.0</v>
      </c>
      <c r="C5" s="21">
        <v>3188.0</v>
      </c>
      <c r="D5" s="21">
        <v>12049.0</v>
      </c>
      <c r="E5" s="21">
        <f t="shared" si="1"/>
        <v>15237</v>
      </c>
      <c r="F5" s="35">
        <f t="shared" si="2"/>
        <v>31.37</v>
      </c>
      <c r="G5" s="21">
        <v>21142.0</v>
      </c>
      <c r="H5" s="13">
        <f t="shared" si="3"/>
        <v>12199</v>
      </c>
      <c r="I5" s="21">
        <v>1617.0</v>
      </c>
      <c r="J5" s="13">
        <f t="shared" si="4"/>
        <v>10582</v>
      </c>
      <c r="K5" s="21">
        <v>0.0</v>
      </c>
      <c r="L5" s="13">
        <f t="shared" si="5"/>
        <v>48578</v>
      </c>
      <c r="M5" s="22" t="s">
        <v>20</v>
      </c>
      <c r="O5" s="40" t="s">
        <v>28</v>
      </c>
      <c r="P5" s="40" t="s">
        <v>218</v>
      </c>
      <c r="Q5" s="40">
        <v>171.0</v>
      </c>
      <c r="S5" s="40"/>
      <c r="T5" s="40" t="s">
        <v>122</v>
      </c>
      <c r="U5" s="40">
        <v>719.0</v>
      </c>
      <c r="W5" s="42"/>
      <c r="X5" s="40" t="s">
        <v>219</v>
      </c>
      <c r="Y5" s="40">
        <v>1630.0</v>
      </c>
    </row>
    <row r="6">
      <c r="A6" s="12" t="s">
        <v>47</v>
      </c>
      <c r="B6" s="21">
        <v>58904.0</v>
      </c>
      <c r="C6" s="21">
        <v>5547.0</v>
      </c>
      <c r="D6" s="21">
        <v>14951.0</v>
      </c>
      <c r="E6" s="21">
        <f t="shared" si="1"/>
        <v>20498</v>
      </c>
      <c r="F6" s="35">
        <f t="shared" si="2"/>
        <v>34.8</v>
      </c>
      <c r="G6" s="21">
        <v>27992.0</v>
      </c>
      <c r="H6" s="13">
        <f t="shared" si="3"/>
        <v>10414</v>
      </c>
      <c r="I6" s="21">
        <v>630.0</v>
      </c>
      <c r="J6" s="13">
        <f t="shared" si="4"/>
        <v>9784</v>
      </c>
      <c r="K6" s="21">
        <v>7.93</v>
      </c>
      <c r="L6" s="13">
        <f t="shared" si="5"/>
        <v>58904</v>
      </c>
      <c r="M6" s="22" t="s">
        <v>20</v>
      </c>
      <c r="O6" s="40"/>
      <c r="P6" s="40" t="s">
        <v>176</v>
      </c>
      <c r="Q6" s="40">
        <v>363.0</v>
      </c>
      <c r="S6" s="40"/>
      <c r="T6" s="40" t="s">
        <v>138</v>
      </c>
      <c r="U6" s="40">
        <v>71.0</v>
      </c>
      <c r="W6" s="40"/>
      <c r="X6" s="40" t="s">
        <v>38</v>
      </c>
      <c r="Y6" s="40">
        <v>400.0</v>
      </c>
    </row>
    <row r="7">
      <c r="A7" s="12" t="s">
        <v>52</v>
      </c>
      <c r="B7" s="21">
        <v>40761.0</v>
      </c>
      <c r="C7" s="21">
        <v>7457.0</v>
      </c>
      <c r="D7" s="21">
        <v>7557.0</v>
      </c>
      <c r="E7" s="21">
        <f t="shared" si="1"/>
        <v>15014</v>
      </c>
      <c r="F7" s="35">
        <f t="shared" si="2"/>
        <v>36.83</v>
      </c>
      <c r="G7" s="21">
        <v>18891.0</v>
      </c>
      <c r="H7" s="13">
        <f t="shared" si="3"/>
        <v>6856</v>
      </c>
      <c r="I7" s="21">
        <v>1401.0</v>
      </c>
      <c r="J7" s="13">
        <f t="shared" si="4"/>
        <v>5455</v>
      </c>
      <c r="K7" s="21">
        <v>40.33</v>
      </c>
      <c r="L7" s="13">
        <f t="shared" si="5"/>
        <v>40761</v>
      </c>
      <c r="M7" s="22" t="s">
        <v>20</v>
      </c>
      <c r="O7" s="40"/>
      <c r="P7" s="39" t="s">
        <v>138</v>
      </c>
      <c r="Q7" s="21">
        <v>88.0</v>
      </c>
      <c r="S7" s="40" t="s">
        <v>70</v>
      </c>
      <c r="T7" s="40" t="s">
        <v>176</v>
      </c>
      <c r="U7" s="40">
        <v>238.0</v>
      </c>
      <c r="W7" s="4" t="s">
        <v>77</v>
      </c>
      <c r="X7" s="4" t="s">
        <v>218</v>
      </c>
      <c r="Y7" s="4">
        <v>140.0</v>
      </c>
    </row>
    <row r="8">
      <c r="A8" s="12" t="s">
        <v>56</v>
      </c>
      <c r="B8" s="21">
        <v>44633.0</v>
      </c>
      <c r="C8" s="21">
        <v>7564.0</v>
      </c>
      <c r="D8" s="21">
        <v>0.0</v>
      </c>
      <c r="E8" s="21">
        <f t="shared" si="1"/>
        <v>7564</v>
      </c>
      <c r="F8" s="35">
        <f t="shared" si="2"/>
        <v>16.95</v>
      </c>
      <c r="G8" s="21">
        <v>24979.0</v>
      </c>
      <c r="H8" s="13">
        <f t="shared" si="3"/>
        <v>12090</v>
      </c>
      <c r="I8" s="21">
        <v>3000.0</v>
      </c>
      <c r="J8" s="13">
        <f t="shared" si="4"/>
        <v>9090</v>
      </c>
      <c r="K8" s="21">
        <v>46.71</v>
      </c>
      <c r="L8" s="13">
        <f t="shared" si="5"/>
        <v>44633</v>
      </c>
      <c r="M8" s="22" t="s">
        <v>20</v>
      </c>
      <c r="O8" s="40"/>
      <c r="P8" s="40" t="s">
        <v>122</v>
      </c>
      <c r="Q8" s="40">
        <v>398.0</v>
      </c>
      <c r="S8" s="40"/>
      <c r="T8" s="40" t="s">
        <v>122</v>
      </c>
      <c r="U8" s="40">
        <v>476.0</v>
      </c>
      <c r="W8" s="15"/>
      <c r="X8" s="15"/>
      <c r="Y8" s="15"/>
    </row>
    <row r="9">
      <c r="A9" s="12" t="s">
        <v>60</v>
      </c>
      <c r="B9" s="21">
        <v>87379.0</v>
      </c>
      <c r="C9" s="21">
        <v>16006.0</v>
      </c>
      <c r="D9" s="21">
        <v>16602.0</v>
      </c>
      <c r="E9" s="21">
        <f t="shared" si="1"/>
        <v>32608</v>
      </c>
      <c r="F9" s="35">
        <f t="shared" si="2"/>
        <v>37.32</v>
      </c>
      <c r="G9" s="21">
        <v>36782.0</v>
      </c>
      <c r="H9" s="13">
        <f t="shared" si="3"/>
        <v>17989</v>
      </c>
      <c r="I9" s="21">
        <v>4999.0</v>
      </c>
      <c r="J9" s="13">
        <f t="shared" si="4"/>
        <v>12990</v>
      </c>
      <c r="K9" s="21">
        <v>57.6</v>
      </c>
      <c r="L9" s="13">
        <f t="shared" si="5"/>
        <v>87379</v>
      </c>
      <c r="M9" s="22" t="s">
        <v>20</v>
      </c>
      <c r="O9" s="42"/>
      <c r="P9" s="40" t="s">
        <v>63</v>
      </c>
      <c r="Q9" s="40">
        <v>230.0</v>
      </c>
      <c r="S9" s="42"/>
      <c r="T9" s="40" t="s">
        <v>138</v>
      </c>
      <c r="U9" s="40">
        <v>87.0</v>
      </c>
      <c r="W9" s="15"/>
      <c r="X9" s="15"/>
      <c r="Y9" s="15"/>
    </row>
    <row r="10">
      <c r="A10" s="57" t="s">
        <v>64</v>
      </c>
      <c r="B10" s="50">
        <v>137141.0</v>
      </c>
      <c r="C10" s="50">
        <v>18982.0</v>
      </c>
      <c r="D10" s="50">
        <v>37696.0</v>
      </c>
      <c r="E10" s="50">
        <f t="shared" si="1"/>
        <v>56678</v>
      </c>
      <c r="F10" s="51">
        <f t="shared" si="2"/>
        <v>41.33</v>
      </c>
      <c r="G10" s="50">
        <v>60049.0</v>
      </c>
      <c r="H10" s="52">
        <f t="shared" si="3"/>
        <v>20414</v>
      </c>
      <c r="I10" s="50">
        <v>234.0</v>
      </c>
      <c r="J10" s="52">
        <f t="shared" si="4"/>
        <v>20180</v>
      </c>
      <c r="K10" s="50">
        <v>52.96</v>
      </c>
      <c r="L10" s="52">
        <f t="shared" si="5"/>
        <v>137141</v>
      </c>
      <c r="M10" s="49" t="s">
        <v>221</v>
      </c>
      <c r="O10" s="42"/>
      <c r="P10" s="40" t="s">
        <v>220</v>
      </c>
      <c r="Q10" s="40">
        <v>50.0</v>
      </c>
      <c r="S10" s="40"/>
      <c r="T10" s="40" t="s">
        <v>54</v>
      </c>
      <c r="U10" s="40">
        <v>9.0</v>
      </c>
      <c r="W10" s="4"/>
      <c r="X10" s="4"/>
      <c r="Y10" s="4"/>
    </row>
    <row r="11">
      <c r="A11" s="58" t="s">
        <v>68</v>
      </c>
      <c r="B11" s="54">
        <v>61953.0</v>
      </c>
      <c r="C11" s="54">
        <v>6115.0</v>
      </c>
      <c r="D11" s="54">
        <v>19676.0</v>
      </c>
      <c r="E11" s="54">
        <f t="shared" si="1"/>
        <v>25791</v>
      </c>
      <c r="F11" s="55">
        <f t="shared" si="2"/>
        <v>41.63</v>
      </c>
      <c r="G11" s="54">
        <v>24909.0</v>
      </c>
      <c r="H11" s="56">
        <f t="shared" si="3"/>
        <v>11253</v>
      </c>
      <c r="I11" s="54">
        <v>1088.0</v>
      </c>
      <c r="J11" s="56">
        <f t="shared" si="4"/>
        <v>10165</v>
      </c>
      <c r="K11" s="54">
        <v>18.84</v>
      </c>
      <c r="L11" s="56">
        <f t="shared" si="5"/>
        <v>61953</v>
      </c>
      <c r="M11" s="53" t="s">
        <v>20</v>
      </c>
      <c r="O11" s="40" t="s">
        <v>33</v>
      </c>
      <c r="P11" s="40" t="s">
        <v>112</v>
      </c>
      <c r="Q11" s="40">
        <v>3000.0</v>
      </c>
      <c r="S11" s="40"/>
      <c r="T11" s="40" t="s">
        <v>128</v>
      </c>
      <c r="U11" s="40">
        <v>100.0</v>
      </c>
      <c r="W11" s="15"/>
      <c r="X11" s="4"/>
      <c r="Y11" s="4"/>
    </row>
    <row r="12">
      <c r="A12" s="12" t="s">
        <v>23</v>
      </c>
      <c r="B12" s="21">
        <v>59673.0</v>
      </c>
      <c r="C12" s="21">
        <v>7458.0</v>
      </c>
      <c r="D12" s="21">
        <v>11667.0</v>
      </c>
      <c r="E12" s="21">
        <f t="shared" si="1"/>
        <v>19125</v>
      </c>
      <c r="F12" s="35">
        <f t="shared" si="2"/>
        <v>32.05</v>
      </c>
      <c r="G12" s="21">
        <v>29391.0</v>
      </c>
      <c r="H12" s="13">
        <f t="shared" si="3"/>
        <v>11157</v>
      </c>
      <c r="I12" s="21">
        <v>0.0</v>
      </c>
      <c r="J12" s="13">
        <f t="shared" si="4"/>
        <v>11157</v>
      </c>
      <c r="K12" s="21">
        <v>0.0</v>
      </c>
      <c r="L12" s="13">
        <f t="shared" si="5"/>
        <v>59673</v>
      </c>
      <c r="M12" s="22" t="s">
        <v>20</v>
      </c>
      <c r="O12" s="40"/>
      <c r="P12" s="40" t="s">
        <v>176</v>
      </c>
      <c r="Q12" s="40">
        <v>99.0</v>
      </c>
      <c r="S12" s="40"/>
      <c r="T12" s="40" t="s">
        <v>82</v>
      </c>
      <c r="U12" s="40">
        <v>90.0</v>
      </c>
      <c r="W12" s="40" t="s">
        <v>88</v>
      </c>
      <c r="X12" s="40" t="s">
        <v>224</v>
      </c>
      <c r="Y12" s="40">
        <v>180.0</v>
      </c>
    </row>
    <row r="13">
      <c r="A13" s="12" t="s">
        <v>59</v>
      </c>
      <c r="B13" s="21">
        <v>74103.0</v>
      </c>
      <c r="C13" s="21">
        <v>4833.0</v>
      </c>
      <c r="D13" s="21">
        <v>14654.0</v>
      </c>
      <c r="E13" s="21">
        <f t="shared" si="1"/>
        <v>19487</v>
      </c>
      <c r="F13" s="35">
        <f t="shared" si="2"/>
        <v>26.3</v>
      </c>
      <c r="G13" s="21">
        <v>39457.0</v>
      </c>
      <c r="H13" s="13">
        <f t="shared" si="3"/>
        <v>15159</v>
      </c>
      <c r="I13" s="21">
        <v>1253.0</v>
      </c>
      <c r="J13" s="13">
        <f t="shared" si="4"/>
        <v>13906</v>
      </c>
      <c r="K13" s="21">
        <v>27.92</v>
      </c>
      <c r="L13" s="13">
        <f t="shared" si="5"/>
        <v>74103</v>
      </c>
      <c r="M13" s="22" t="s">
        <v>20</v>
      </c>
      <c r="O13" s="40"/>
      <c r="P13" s="40" t="s">
        <v>122</v>
      </c>
      <c r="Q13" s="40">
        <v>342.0</v>
      </c>
      <c r="S13" s="40" t="s">
        <v>75</v>
      </c>
      <c r="T13" s="40" t="s">
        <v>176</v>
      </c>
      <c r="U13" s="40">
        <v>309.0</v>
      </c>
      <c r="W13" s="40" t="s">
        <v>98</v>
      </c>
      <c r="X13" s="40" t="s">
        <v>226</v>
      </c>
      <c r="Y13" s="40">
        <v>80.0</v>
      </c>
    </row>
    <row r="14">
      <c r="A14" s="12" t="s">
        <v>70</v>
      </c>
      <c r="B14" s="21">
        <v>62504.0</v>
      </c>
      <c r="C14" s="21">
        <v>9459.0</v>
      </c>
      <c r="D14" s="21">
        <v>11992.0</v>
      </c>
      <c r="E14" s="21">
        <f t="shared" si="1"/>
        <v>21451</v>
      </c>
      <c r="F14" s="35">
        <f t="shared" si="2"/>
        <v>34.32</v>
      </c>
      <c r="G14" s="21">
        <v>27763.0</v>
      </c>
      <c r="H14" s="13">
        <f t="shared" si="3"/>
        <v>13290</v>
      </c>
      <c r="I14" s="21">
        <v>1000.0</v>
      </c>
      <c r="J14" s="13">
        <f t="shared" si="4"/>
        <v>12290</v>
      </c>
      <c r="K14" s="21">
        <v>22.24</v>
      </c>
      <c r="L14" s="13">
        <f t="shared" si="5"/>
        <v>62504</v>
      </c>
      <c r="M14" s="22" t="s">
        <v>20</v>
      </c>
      <c r="O14" s="40"/>
      <c r="P14" s="39" t="s">
        <v>138</v>
      </c>
      <c r="Q14" s="40">
        <v>94.0</v>
      </c>
      <c r="S14" s="40"/>
      <c r="T14" s="40" t="s">
        <v>122</v>
      </c>
      <c r="U14" s="40">
        <v>88.0</v>
      </c>
      <c r="W14" s="40" t="s">
        <v>25</v>
      </c>
      <c r="X14" s="40" t="s">
        <v>38</v>
      </c>
      <c r="Y14" s="40">
        <v>400.0</v>
      </c>
    </row>
    <row r="15">
      <c r="A15" s="12" t="s">
        <v>75</v>
      </c>
      <c r="B15" s="21">
        <v>80066.0</v>
      </c>
      <c r="C15" s="21">
        <v>15748.0</v>
      </c>
      <c r="D15" s="21">
        <v>14166.0</v>
      </c>
      <c r="E15" s="21">
        <f t="shared" si="1"/>
        <v>29914</v>
      </c>
      <c r="F15" s="35">
        <f t="shared" si="2"/>
        <v>37.36</v>
      </c>
      <c r="G15" s="21">
        <v>33870.0</v>
      </c>
      <c r="H15" s="13">
        <f t="shared" si="3"/>
        <v>16282</v>
      </c>
      <c r="I15" s="21">
        <v>1890.0</v>
      </c>
      <c r="J15" s="13">
        <f t="shared" si="4"/>
        <v>14392</v>
      </c>
      <c r="K15" s="21">
        <v>32.25</v>
      </c>
      <c r="L15" s="13">
        <f t="shared" si="5"/>
        <v>80066</v>
      </c>
      <c r="M15" s="22" t="s">
        <v>229</v>
      </c>
      <c r="O15" s="40" t="s">
        <v>40</v>
      </c>
      <c r="P15" s="40" t="s">
        <v>230</v>
      </c>
      <c r="Q15" s="40">
        <v>500.0</v>
      </c>
      <c r="S15" s="40"/>
      <c r="T15" s="40" t="s">
        <v>138</v>
      </c>
      <c r="U15" s="40">
        <v>714.0</v>
      </c>
      <c r="W15" s="42"/>
      <c r="X15" s="40" t="s">
        <v>138</v>
      </c>
      <c r="Y15" s="40">
        <v>106.0</v>
      </c>
    </row>
    <row r="16">
      <c r="A16" s="12" t="s">
        <v>27</v>
      </c>
      <c r="B16" s="21">
        <v>110416.0</v>
      </c>
      <c r="C16" s="21">
        <v>20961.0</v>
      </c>
      <c r="D16" s="21">
        <v>14216.0</v>
      </c>
      <c r="E16" s="21">
        <f t="shared" si="1"/>
        <v>35177</v>
      </c>
      <c r="F16" s="35">
        <f t="shared" si="2"/>
        <v>31.86</v>
      </c>
      <c r="G16" s="21">
        <v>58978.0</v>
      </c>
      <c r="H16" s="13">
        <f t="shared" si="3"/>
        <v>16261</v>
      </c>
      <c r="I16" s="21">
        <v>1996.0</v>
      </c>
      <c r="J16" s="13">
        <f t="shared" si="4"/>
        <v>14265</v>
      </c>
      <c r="K16" s="21">
        <v>66.15</v>
      </c>
      <c r="L16" s="13">
        <f t="shared" si="5"/>
        <v>110416</v>
      </c>
      <c r="M16" s="22" t="s">
        <v>20</v>
      </c>
      <c r="O16" s="40"/>
      <c r="P16" s="40" t="s">
        <v>220</v>
      </c>
      <c r="Q16" s="40">
        <v>50.0</v>
      </c>
      <c r="S16" s="40"/>
      <c r="T16" s="40" t="s">
        <v>54</v>
      </c>
      <c r="U16" s="40">
        <v>10.0</v>
      </c>
      <c r="W16" s="40"/>
      <c r="X16" s="40" t="s">
        <v>138</v>
      </c>
      <c r="Y16" s="40">
        <v>77.0</v>
      </c>
    </row>
    <row r="17">
      <c r="A17" s="57" t="s">
        <v>31</v>
      </c>
      <c r="B17" s="50">
        <v>106879.0</v>
      </c>
      <c r="C17" s="50">
        <v>12827.0</v>
      </c>
      <c r="D17" s="50">
        <v>25388.0</v>
      </c>
      <c r="E17" s="50">
        <f t="shared" si="1"/>
        <v>38215</v>
      </c>
      <c r="F17" s="51">
        <f t="shared" si="2"/>
        <v>35.76</v>
      </c>
      <c r="G17" s="50">
        <v>48753.0</v>
      </c>
      <c r="H17" s="52">
        <f t="shared" si="3"/>
        <v>19911</v>
      </c>
      <c r="I17" s="50">
        <v>1092.0</v>
      </c>
      <c r="J17" s="52">
        <f t="shared" si="4"/>
        <v>18819</v>
      </c>
      <c r="K17" s="50">
        <v>104.96</v>
      </c>
      <c r="L17" s="52">
        <f t="shared" si="5"/>
        <v>106879</v>
      </c>
      <c r="M17" s="49" t="s">
        <v>20</v>
      </c>
      <c r="O17" s="42"/>
      <c r="P17" s="40" t="s">
        <v>138</v>
      </c>
      <c r="Q17" s="40">
        <v>82.0</v>
      </c>
      <c r="S17" s="40"/>
      <c r="T17" s="40" t="s">
        <v>231</v>
      </c>
      <c r="U17" s="40">
        <v>769.0</v>
      </c>
      <c r="W17" s="42"/>
      <c r="X17" s="40" t="s">
        <v>176</v>
      </c>
      <c r="Y17" s="40">
        <v>158.0</v>
      </c>
    </row>
    <row r="18">
      <c r="A18" s="58" t="s">
        <v>46</v>
      </c>
      <c r="B18" s="54">
        <v>47185.0</v>
      </c>
      <c r="C18" s="54">
        <v>9279.0</v>
      </c>
      <c r="D18" s="54">
        <v>13521.0</v>
      </c>
      <c r="E18" s="54">
        <f t="shared" si="1"/>
        <v>22800</v>
      </c>
      <c r="F18" s="55">
        <f t="shared" si="2"/>
        <v>48.32</v>
      </c>
      <c r="G18" s="54">
        <v>17126.0</v>
      </c>
      <c r="H18" s="56">
        <f t="shared" si="3"/>
        <v>7259</v>
      </c>
      <c r="I18" s="54">
        <v>1647.0</v>
      </c>
      <c r="J18" s="56">
        <f t="shared" si="4"/>
        <v>5612</v>
      </c>
      <c r="K18" s="54">
        <v>13.5</v>
      </c>
      <c r="L18" s="56">
        <f t="shared" si="5"/>
        <v>47185</v>
      </c>
      <c r="M18" s="53" t="s">
        <v>232</v>
      </c>
      <c r="O18" s="42"/>
      <c r="P18" s="40" t="s">
        <v>176</v>
      </c>
      <c r="Q18" s="40">
        <v>366.0</v>
      </c>
      <c r="S18" s="40" t="s">
        <v>27</v>
      </c>
      <c r="T18" s="40" t="s">
        <v>176</v>
      </c>
      <c r="U18" s="40">
        <v>387.0</v>
      </c>
      <c r="W18" s="42"/>
      <c r="X18" s="40" t="s">
        <v>122</v>
      </c>
      <c r="Y18" s="40">
        <v>796.0</v>
      </c>
    </row>
    <row r="19">
      <c r="A19" s="12" t="s">
        <v>51</v>
      </c>
      <c r="B19" s="21">
        <v>44320.0</v>
      </c>
      <c r="C19" s="21">
        <v>3555.0</v>
      </c>
      <c r="D19" s="21">
        <v>11532.0</v>
      </c>
      <c r="E19" s="21">
        <f t="shared" si="1"/>
        <v>15087</v>
      </c>
      <c r="F19" s="35">
        <f t="shared" si="2"/>
        <v>34.04</v>
      </c>
      <c r="G19" s="21">
        <v>19073.0</v>
      </c>
      <c r="H19" s="13">
        <f t="shared" si="3"/>
        <v>10160</v>
      </c>
      <c r="I19" s="21">
        <v>1169.0</v>
      </c>
      <c r="J19" s="13">
        <f t="shared" si="4"/>
        <v>8991</v>
      </c>
      <c r="K19" s="21">
        <v>100.02</v>
      </c>
      <c r="L19" s="13">
        <f t="shared" si="5"/>
        <v>44320</v>
      </c>
      <c r="M19" s="22" t="s">
        <v>20</v>
      </c>
      <c r="O19" s="42"/>
      <c r="P19" s="40" t="s">
        <v>122</v>
      </c>
      <c r="Q19" s="40">
        <v>619.0</v>
      </c>
      <c r="S19" s="40"/>
      <c r="T19" s="40" t="s">
        <v>122</v>
      </c>
      <c r="U19" s="40">
        <v>1019.0</v>
      </c>
      <c r="W19" s="40" t="s">
        <v>49</v>
      </c>
      <c r="X19" s="40" t="s">
        <v>176</v>
      </c>
      <c r="Y19" s="40">
        <v>74.0</v>
      </c>
    </row>
    <row r="20">
      <c r="A20" s="12" t="s">
        <v>57</v>
      </c>
      <c r="B20" s="21">
        <v>52057.0</v>
      </c>
      <c r="C20" s="21">
        <v>4965.0</v>
      </c>
      <c r="D20" s="21">
        <v>10327.0</v>
      </c>
      <c r="E20" s="21">
        <f t="shared" si="1"/>
        <v>15292</v>
      </c>
      <c r="F20" s="35">
        <f t="shared" si="2"/>
        <v>29.38</v>
      </c>
      <c r="G20" s="21">
        <v>27074.0</v>
      </c>
      <c r="H20" s="13">
        <f t="shared" si="3"/>
        <v>9691</v>
      </c>
      <c r="I20" s="21">
        <v>911.0</v>
      </c>
      <c r="J20" s="13">
        <f t="shared" si="4"/>
        <v>8780</v>
      </c>
      <c r="K20" s="21">
        <v>38.99</v>
      </c>
      <c r="L20" s="13">
        <f t="shared" si="5"/>
        <v>52057</v>
      </c>
      <c r="M20" s="22" t="s">
        <v>20</v>
      </c>
      <c r="O20" s="40" t="s">
        <v>47</v>
      </c>
      <c r="P20" s="40" t="s">
        <v>112</v>
      </c>
      <c r="Q20" s="40">
        <v>400.0</v>
      </c>
      <c r="S20" s="42"/>
      <c r="T20" s="40" t="s">
        <v>138</v>
      </c>
      <c r="U20" s="40">
        <v>90.0</v>
      </c>
      <c r="W20" s="42"/>
      <c r="X20" s="40" t="s">
        <v>138</v>
      </c>
      <c r="Y20" s="40">
        <v>435.0</v>
      </c>
    </row>
    <row r="21">
      <c r="A21" s="12" t="s">
        <v>62</v>
      </c>
      <c r="B21" s="21">
        <v>47366.0</v>
      </c>
      <c r="C21" s="21">
        <v>9104.0</v>
      </c>
      <c r="D21" s="21">
        <v>6639.0</v>
      </c>
      <c r="E21" s="21">
        <f t="shared" si="1"/>
        <v>15743</v>
      </c>
      <c r="F21" s="35">
        <f t="shared" si="2"/>
        <v>33.24</v>
      </c>
      <c r="G21" s="21">
        <v>22883.0</v>
      </c>
      <c r="H21" s="13">
        <f t="shared" si="3"/>
        <v>8740</v>
      </c>
      <c r="I21" s="21">
        <v>60.0</v>
      </c>
      <c r="J21" s="13">
        <f t="shared" si="4"/>
        <v>8680</v>
      </c>
      <c r="K21" s="21">
        <v>2.15</v>
      </c>
      <c r="L21" s="13">
        <f t="shared" si="5"/>
        <v>47366</v>
      </c>
      <c r="M21" s="22" t="s">
        <v>20</v>
      </c>
      <c r="O21" s="42"/>
      <c r="P21" s="40" t="s">
        <v>63</v>
      </c>
      <c r="Q21" s="40">
        <v>230.0</v>
      </c>
      <c r="S21" s="40"/>
      <c r="T21" s="48" t="s">
        <v>141</v>
      </c>
      <c r="U21" s="40">
        <v>500.0</v>
      </c>
      <c r="W21" s="42"/>
      <c r="X21" s="40" t="s">
        <v>138</v>
      </c>
      <c r="Y21" s="40">
        <v>102.0</v>
      </c>
    </row>
    <row r="22">
      <c r="A22" s="12" t="s">
        <v>67</v>
      </c>
      <c r="B22" s="21">
        <v>38674.0</v>
      </c>
      <c r="C22" s="21">
        <v>4245.0</v>
      </c>
      <c r="D22" s="21">
        <v>7120.0</v>
      </c>
      <c r="E22" s="21">
        <f t="shared" si="1"/>
        <v>11365</v>
      </c>
      <c r="F22" s="35">
        <f t="shared" si="2"/>
        <v>29.39</v>
      </c>
      <c r="G22" s="34">
        <v>17756.0</v>
      </c>
      <c r="H22" s="13">
        <f t="shared" si="3"/>
        <v>9553</v>
      </c>
      <c r="I22" s="21">
        <v>480.0</v>
      </c>
      <c r="J22" s="13">
        <f t="shared" si="4"/>
        <v>9073</v>
      </c>
      <c r="K22" s="21">
        <v>7.29</v>
      </c>
      <c r="L22" s="13">
        <f t="shared" si="5"/>
        <v>38674</v>
      </c>
      <c r="M22" s="22" t="s">
        <v>20</v>
      </c>
      <c r="N22" s="45"/>
      <c r="O22" s="40" t="s">
        <v>52</v>
      </c>
      <c r="P22" s="40" t="s">
        <v>176</v>
      </c>
      <c r="Q22" s="40">
        <v>367.0</v>
      </c>
      <c r="S22" s="40" t="s">
        <v>31</v>
      </c>
      <c r="T22" s="40" t="s">
        <v>176</v>
      </c>
      <c r="U22" s="40">
        <v>251.0</v>
      </c>
      <c r="W22" s="40" t="s">
        <v>65</v>
      </c>
      <c r="X22" s="40" t="s">
        <v>38</v>
      </c>
      <c r="Y22" s="40">
        <v>400.0</v>
      </c>
    </row>
    <row r="23">
      <c r="A23" s="12" t="s">
        <v>74</v>
      </c>
      <c r="B23" s="21">
        <v>86585.0</v>
      </c>
      <c r="C23" s="21">
        <v>11964.0</v>
      </c>
      <c r="D23" s="21">
        <v>18653.0</v>
      </c>
      <c r="E23" s="21">
        <f t="shared" si="1"/>
        <v>30617</v>
      </c>
      <c r="F23" s="35">
        <f t="shared" si="2"/>
        <v>35.36</v>
      </c>
      <c r="G23" s="21">
        <v>40543.0</v>
      </c>
      <c r="H23" s="13">
        <f t="shared" si="3"/>
        <v>15425</v>
      </c>
      <c r="I23" s="21">
        <v>2926.0</v>
      </c>
      <c r="J23" s="13">
        <f t="shared" si="4"/>
        <v>12499</v>
      </c>
      <c r="K23" s="21">
        <v>70.37</v>
      </c>
      <c r="L23" s="13">
        <f t="shared" si="5"/>
        <v>86585</v>
      </c>
      <c r="M23" s="22" t="s">
        <v>20</v>
      </c>
      <c r="O23" s="40"/>
      <c r="P23" s="40" t="s">
        <v>122</v>
      </c>
      <c r="Q23" s="40">
        <v>930.0</v>
      </c>
      <c r="S23" s="40"/>
      <c r="T23" s="40" t="s">
        <v>122</v>
      </c>
      <c r="U23" s="40">
        <v>701.0</v>
      </c>
      <c r="W23" s="42"/>
      <c r="X23" s="40" t="s">
        <v>122</v>
      </c>
      <c r="Y23" s="40">
        <v>363.0</v>
      </c>
    </row>
    <row r="24">
      <c r="A24" s="57" t="s">
        <v>77</v>
      </c>
      <c r="B24" s="50">
        <v>110075.0</v>
      </c>
      <c r="C24" s="50">
        <v>18200.0</v>
      </c>
      <c r="D24" s="50">
        <v>24473.0</v>
      </c>
      <c r="E24" s="50">
        <f t="shared" si="1"/>
        <v>42673</v>
      </c>
      <c r="F24" s="51">
        <f t="shared" si="2"/>
        <v>38.77</v>
      </c>
      <c r="G24" s="50">
        <v>44843.0</v>
      </c>
      <c r="H24" s="52">
        <f t="shared" si="3"/>
        <v>22559</v>
      </c>
      <c r="I24" s="50">
        <v>1902.0</v>
      </c>
      <c r="J24" s="52">
        <f t="shared" si="4"/>
        <v>20657</v>
      </c>
      <c r="K24" s="50">
        <v>51.53</v>
      </c>
      <c r="L24" s="52">
        <f t="shared" si="5"/>
        <v>110075</v>
      </c>
      <c r="M24" s="49" t="s">
        <v>20</v>
      </c>
      <c r="O24" s="42"/>
      <c r="P24" s="40" t="s">
        <v>138</v>
      </c>
      <c r="Q24" s="40">
        <v>104.0</v>
      </c>
      <c r="S24" s="40"/>
      <c r="T24" s="48" t="s">
        <v>138</v>
      </c>
      <c r="U24" s="40">
        <v>90.0</v>
      </c>
      <c r="W24" s="42"/>
      <c r="X24" s="40" t="s">
        <v>176</v>
      </c>
      <c r="Y24" s="40">
        <v>90.0</v>
      </c>
    </row>
    <row r="25">
      <c r="A25" s="58" t="s">
        <v>88</v>
      </c>
      <c r="B25" s="54">
        <v>44814.0</v>
      </c>
      <c r="C25" s="54">
        <v>5746.0</v>
      </c>
      <c r="D25" s="54">
        <v>14471.0</v>
      </c>
      <c r="E25" s="54">
        <f t="shared" si="1"/>
        <v>20217</v>
      </c>
      <c r="F25" s="55">
        <f t="shared" si="2"/>
        <v>45.11</v>
      </c>
      <c r="G25" s="54">
        <v>14728.0</v>
      </c>
      <c r="H25" s="56">
        <f t="shared" si="3"/>
        <v>9869</v>
      </c>
      <c r="I25" s="54">
        <v>180.0</v>
      </c>
      <c r="J25" s="56">
        <f t="shared" si="4"/>
        <v>9689</v>
      </c>
      <c r="K25" s="54">
        <v>9.29</v>
      </c>
      <c r="L25" s="56">
        <f t="shared" si="5"/>
        <v>44814</v>
      </c>
      <c r="M25" s="53" t="s">
        <v>237</v>
      </c>
      <c r="O25" s="40" t="s">
        <v>56</v>
      </c>
      <c r="P25" s="40" t="s">
        <v>58</v>
      </c>
      <c r="Q25" s="40">
        <v>3000.0</v>
      </c>
      <c r="S25" s="42"/>
      <c r="T25" s="40"/>
      <c r="U25" s="40">
        <v>50.0</v>
      </c>
      <c r="W25" s="42"/>
      <c r="X25" s="40" t="s">
        <v>138</v>
      </c>
      <c r="Y25" s="40">
        <v>54.0</v>
      </c>
    </row>
    <row r="26">
      <c r="A26" s="12" t="s">
        <v>98</v>
      </c>
      <c r="B26" s="21">
        <v>45227.0</v>
      </c>
      <c r="C26" s="21">
        <v>4458.0</v>
      </c>
      <c r="D26" s="21">
        <v>12585.0</v>
      </c>
      <c r="E26" s="54">
        <f t="shared" si="1"/>
        <v>17043</v>
      </c>
      <c r="F26" s="35">
        <f t="shared" si="2"/>
        <v>37.68</v>
      </c>
      <c r="G26" s="21">
        <v>17367.0</v>
      </c>
      <c r="H26" s="13">
        <f t="shared" si="3"/>
        <v>10817</v>
      </c>
      <c r="I26" s="21">
        <v>80.0</v>
      </c>
      <c r="J26" s="13">
        <f t="shared" si="4"/>
        <v>10737</v>
      </c>
      <c r="K26" s="21">
        <v>4.49</v>
      </c>
      <c r="L26" s="13">
        <f t="shared" si="5"/>
        <v>45227</v>
      </c>
      <c r="M26" s="22" t="s">
        <v>20</v>
      </c>
      <c r="O26" s="40" t="s">
        <v>60</v>
      </c>
      <c r="P26" s="40" t="s">
        <v>176</v>
      </c>
      <c r="Q26" s="40">
        <v>252.0</v>
      </c>
      <c r="S26" s="40" t="s">
        <v>51</v>
      </c>
      <c r="T26" s="40" t="s">
        <v>22</v>
      </c>
      <c r="U26" s="40">
        <v>541.0</v>
      </c>
      <c r="W26" s="40" t="s">
        <v>101</v>
      </c>
      <c r="X26" s="40" t="s">
        <v>176</v>
      </c>
      <c r="Y26" s="40">
        <v>67.0</v>
      </c>
    </row>
    <row r="27">
      <c r="A27" s="12" t="s">
        <v>25</v>
      </c>
      <c r="B27" s="21">
        <v>73855.0</v>
      </c>
      <c r="C27" s="21">
        <v>13075.0</v>
      </c>
      <c r="D27" s="21">
        <v>16789.0</v>
      </c>
      <c r="E27" s="21">
        <f t="shared" si="1"/>
        <v>29864</v>
      </c>
      <c r="F27" s="35">
        <f t="shared" si="2"/>
        <v>40.44</v>
      </c>
      <c r="G27" s="21">
        <v>31433.0</v>
      </c>
      <c r="H27" s="13">
        <f t="shared" si="3"/>
        <v>12558</v>
      </c>
      <c r="I27" s="21">
        <v>1537.0</v>
      </c>
      <c r="J27" s="13">
        <f t="shared" si="4"/>
        <v>11021</v>
      </c>
      <c r="K27" s="21">
        <v>60.81</v>
      </c>
      <c r="L27" s="13">
        <f t="shared" si="5"/>
        <v>73855</v>
      </c>
      <c r="M27" s="22" t="s">
        <v>20</v>
      </c>
      <c r="O27" s="42"/>
      <c r="P27" s="40" t="s">
        <v>122</v>
      </c>
      <c r="Q27" s="40">
        <v>626.0</v>
      </c>
      <c r="S27" s="40"/>
      <c r="T27" s="40" t="s">
        <v>138</v>
      </c>
      <c r="U27" s="40">
        <v>78.0</v>
      </c>
      <c r="W27" s="42"/>
      <c r="X27" s="40" t="s">
        <v>122</v>
      </c>
      <c r="Y27" s="40">
        <v>429.0</v>
      </c>
    </row>
    <row r="28">
      <c r="A28" s="12" t="s">
        <v>49</v>
      </c>
      <c r="B28" s="21">
        <v>53019.0</v>
      </c>
      <c r="C28" s="21">
        <v>9058.0</v>
      </c>
      <c r="D28" s="21">
        <v>7988.0</v>
      </c>
      <c r="E28" s="21">
        <f t="shared" si="1"/>
        <v>17046</v>
      </c>
      <c r="F28" s="35">
        <f t="shared" si="2"/>
        <v>32.15</v>
      </c>
      <c r="G28" s="21">
        <v>28423.0</v>
      </c>
      <c r="H28" s="13">
        <f t="shared" si="3"/>
        <v>7550</v>
      </c>
      <c r="I28" s="21">
        <v>611.0</v>
      </c>
      <c r="J28" s="13">
        <f t="shared" si="4"/>
        <v>6939</v>
      </c>
      <c r="K28" s="21">
        <v>23.62</v>
      </c>
      <c r="L28" s="13">
        <f t="shared" si="5"/>
        <v>53019</v>
      </c>
      <c r="M28" s="22" t="s">
        <v>20</v>
      </c>
      <c r="O28" s="40"/>
      <c r="P28" s="40" t="s">
        <v>138</v>
      </c>
      <c r="Q28" s="40">
        <v>121.0</v>
      </c>
      <c r="S28" s="42"/>
      <c r="T28" s="40" t="s">
        <v>122</v>
      </c>
      <c r="U28" s="40">
        <v>806.0</v>
      </c>
      <c r="W28" s="42"/>
      <c r="X28" s="40" t="s">
        <v>138</v>
      </c>
      <c r="Y28" s="40">
        <v>52.0</v>
      </c>
    </row>
    <row r="29">
      <c r="A29" s="12" t="s">
        <v>65</v>
      </c>
      <c r="B29" s="21">
        <v>77417.0</v>
      </c>
      <c r="C29" s="21">
        <v>12853.0</v>
      </c>
      <c r="D29" s="21">
        <v>18132.0</v>
      </c>
      <c r="E29" s="21">
        <f t="shared" si="1"/>
        <v>30985</v>
      </c>
      <c r="F29" s="35">
        <f t="shared" si="2"/>
        <v>40.02</v>
      </c>
      <c r="G29" s="21">
        <v>30979.0</v>
      </c>
      <c r="H29" s="13">
        <f t="shared" si="3"/>
        <v>15453</v>
      </c>
      <c r="I29" s="21">
        <v>907.0</v>
      </c>
      <c r="J29" s="13">
        <f t="shared" si="4"/>
        <v>14546</v>
      </c>
      <c r="K29" s="21">
        <v>22.34</v>
      </c>
      <c r="L29" s="13">
        <f t="shared" si="5"/>
        <v>77417</v>
      </c>
      <c r="M29" s="22" t="s">
        <v>20</v>
      </c>
      <c r="O29" s="42"/>
      <c r="P29" s="40" t="s">
        <v>97</v>
      </c>
      <c r="Q29" s="40">
        <v>4000.0</v>
      </c>
      <c r="S29" s="40"/>
      <c r="T29" s="40" t="s">
        <v>176</v>
      </c>
      <c r="U29" s="40">
        <v>274.0</v>
      </c>
      <c r="W29" s="40" t="s">
        <v>110</v>
      </c>
      <c r="X29" s="40" t="s">
        <v>176</v>
      </c>
      <c r="Y29" s="40">
        <v>91.0</v>
      </c>
    </row>
    <row r="30">
      <c r="A30" s="22" t="s">
        <v>101</v>
      </c>
      <c r="B30" s="21">
        <v>81486.0</v>
      </c>
      <c r="C30" s="21">
        <v>10149.0</v>
      </c>
      <c r="D30" s="21">
        <v>22606.0</v>
      </c>
      <c r="E30" s="21">
        <f t="shared" si="1"/>
        <v>32755</v>
      </c>
      <c r="F30" s="35">
        <f t="shared" si="2"/>
        <v>40.2</v>
      </c>
      <c r="G30" s="21">
        <v>29284.0</v>
      </c>
      <c r="H30" s="13">
        <f t="shared" si="3"/>
        <v>19447</v>
      </c>
      <c r="I30" s="21">
        <v>548.0</v>
      </c>
      <c r="J30" s="13">
        <f t="shared" si="4"/>
        <v>18899</v>
      </c>
      <c r="K30" s="21">
        <v>84.04</v>
      </c>
      <c r="L30" s="13">
        <f t="shared" si="5"/>
        <v>81486</v>
      </c>
      <c r="M30" s="22" t="s">
        <v>20</v>
      </c>
      <c r="O30" s="40" t="s">
        <v>64</v>
      </c>
      <c r="P30" s="40" t="s">
        <v>176</v>
      </c>
      <c r="Q30" s="40">
        <v>203.0</v>
      </c>
      <c r="S30" s="40" t="s">
        <v>57</v>
      </c>
      <c r="T30" s="40" t="s">
        <v>176</v>
      </c>
      <c r="U30" s="40">
        <v>285.62</v>
      </c>
      <c r="W30" s="42"/>
      <c r="X30" s="40" t="s">
        <v>122</v>
      </c>
      <c r="Y30" s="40">
        <v>501.0</v>
      </c>
    </row>
    <row r="31">
      <c r="A31" s="49" t="s">
        <v>110</v>
      </c>
      <c r="B31" s="50">
        <v>109631.0</v>
      </c>
      <c r="C31" s="50">
        <v>17291.0</v>
      </c>
      <c r="D31" s="50">
        <v>26821.0</v>
      </c>
      <c r="E31" s="50">
        <f t="shared" si="1"/>
        <v>44112</v>
      </c>
      <c r="F31" s="51">
        <f t="shared" si="2"/>
        <v>40.24</v>
      </c>
      <c r="G31" s="50">
        <v>48920.0</v>
      </c>
      <c r="H31" s="52">
        <f t="shared" si="3"/>
        <v>16599</v>
      </c>
      <c r="I31" s="50">
        <v>1001.0</v>
      </c>
      <c r="J31" s="52">
        <f t="shared" si="4"/>
        <v>15598</v>
      </c>
      <c r="K31" s="50">
        <v>52.37</v>
      </c>
      <c r="L31" s="52">
        <f t="shared" si="5"/>
        <v>109631</v>
      </c>
      <c r="M31" s="49" t="s">
        <v>20</v>
      </c>
      <c r="O31" s="40"/>
      <c r="P31" s="40" t="s">
        <v>138</v>
      </c>
      <c r="Q31" s="40">
        <v>31.0</v>
      </c>
      <c r="S31" s="42"/>
      <c r="T31" s="40" t="s">
        <v>122</v>
      </c>
      <c r="U31" s="40">
        <v>536.58</v>
      </c>
      <c r="W31" s="42"/>
      <c r="X31" s="40" t="s">
        <v>138</v>
      </c>
      <c r="Y31" s="40">
        <v>109.0</v>
      </c>
    </row>
    <row r="32">
      <c r="A32" s="53" t="s">
        <v>121</v>
      </c>
      <c r="B32" s="54">
        <v>51674.0</v>
      </c>
      <c r="C32" s="54">
        <v>8619.0</v>
      </c>
      <c r="D32" s="54">
        <v>9279.0</v>
      </c>
      <c r="E32" s="54">
        <f t="shared" si="1"/>
        <v>17898</v>
      </c>
      <c r="F32" s="55">
        <f t="shared" si="2"/>
        <v>34.64</v>
      </c>
      <c r="G32" s="54">
        <v>21261.0</v>
      </c>
      <c r="H32" s="56">
        <f t="shared" si="3"/>
        <v>12515</v>
      </c>
      <c r="I32" s="48">
        <v>1060.0</v>
      </c>
      <c r="J32" s="56">
        <f t="shared" si="4"/>
        <v>11455</v>
      </c>
      <c r="K32" s="54">
        <v>6.72</v>
      </c>
      <c r="L32" s="56">
        <f t="shared" si="5"/>
        <v>51674</v>
      </c>
      <c r="M32" s="53" t="s">
        <v>20</v>
      </c>
      <c r="O32" s="40" t="s">
        <v>68</v>
      </c>
      <c r="P32" s="40" t="s">
        <v>176</v>
      </c>
      <c r="Q32" s="40">
        <v>218.0</v>
      </c>
      <c r="S32" s="40"/>
      <c r="T32" s="40" t="s">
        <v>138</v>
      </c>
      <c r="U32" s="40">
        <v>88.8</v>
      </c>
      <c r="W32" s="42"/>
      <c r="X32" s="40" t="s">
        <v>82</v>
      </c>
      <c r="Y32" s="40">
        <v>300.0</v>
      </c>
    </row>
    <row r="33">
      <c r="A33" s="28"/>
      <c r="B33" s="29">
        <f t="shared" ref="B33:C33" si="6">SUM(B2:B32)</f>
        <v>2204126</v>
      </c>
      <c r="C33" s="29">
        <f t="shared" si="6"/>
        <v>304387</v>
      </c>
      <c r="D33" s="29">
        <f>sum(D2:D32)</f>
        <v>494749</v>
      </c>
      <c r="E33" s="29">
        <f>sum(E2:E31)</f>
        <v>781238</v>
      </c>
      <c r="F33" s="29">
        <f t="shared" si="2"/>
        <v>35.44</v>
      </c>
      <c r="G33" s="29">
        <f t="shared" ref="G33:K33" si="7">SUM(G2:G29)</f>
        <v>886342</v>
      </c>
      <c r="H33" s="29">
        <f t="shared" si="7"/>
        <v>370622</v>
      </c>
      <c r="I33" s="29">
        <f t="shared" si="7"/>
        <v>38580</v>
      </c>
      <c r="J33" s="29">
        <f t="shared" si="7"/>
        <v>332042</v>
      </c>
      <c r="K33" s="29">
        <f t="shared" si="7"/>
        <v>1030.67</v>
      </c>
      <c r="L33" s="29">
        <f>SUM(L2:L31)</f>
        <v>2152452</v>
      </c>
      <c r="M33" s="29"/>
      <c r="O33" s="40"/>
      <c r="P33" s="40" t="s">
        <v>138</v>
      </c>
      <c r="Q33" s="40">
        <v>89.0</v>
      </c>
      <c r="S33" s="40" t="s">
        <v>62</v>
      </c>
      <c r="T33" s="40" t="s">
        <v>82</v>
      </c>
      <c r="U33" s="40">
        <v>60.0</v>
      </c>
      <c r="W33" s="40" t="s">
        <v>121</v>
      </c>
      <c r="X33" s="40" t="s">
        <v>176</v>
      </c>
      <c r="Y33" s="40">
        <v>192.0</v>
      </c>
    </row>
    <row r="34">
      <c r="O34" s="40"/>
      <c r="P34" s="40" t="s">
        <v>122</v>
      </c>
      <c r="Q34" s="40">
        <v>681.0</v>
      </c>
      <c r="S34" s="40" t="s">
        <v>67</v>
      </c>
      <c r="T34" s="40" t="s">
        <v>138</v>
      </c>
      <c r="U34" s="40">
        <v>72.0</v>
      </c>
      <c r="W34" s="42"/>
      <c r="X34" s="40" t="s">
        <v>122</v>
      </c>
      <c r="Y34" s="40">
        <v>738.0</v>
      </c>
    </row>
    <row r="35">
      <c r="O35" s="42"/>
      <c r="P35" s="40" t="s">
        <v>35</v>
      </c>
      <c r="Q35" s="40">
        <v>10.0</v>
      </c>
      <c r="S35" s="42"/>
      <c r="T35" s="40" t="s">
        <v>176</v>
      </c>
      <c r="U35" s="40">
        <v>113.0</v>
      </c>
      <c r="W35" s="42"/>
      <c r="X35" s="40" t="s">
        <v>138</v>
      </c>
      <c r="Y35" s="40">
        <v>110.0</v>
      </c>
    </row>
    <row r="36">
      <c r="E36" s="14">
        <f>(B33-E33)</f>
        <v>1422888</v>
      </c>
      <c r="O36" s="42"/>
      <c r="P36" s="40" t="s">
        <v>242</v>
      </c>
      <c r="Q36" s="40">
        <v>90.0</v>
      </c>
      <c r="S36" s="42"/>
      <c r="T36" s="40" t="s">
        <v>122</v>
      </c>
      <c r="U36" s="40">
        <v>290.0</v>
      </c>
      <c r="W36" s="42"/>
      <c r="X36" s="40" t="s">
        <v>243</v>
      </c>
      <c r="Y36" s="40">
        <v>20.0</v>
      </c>
    </row>
    <row r="37">
      <c r="S37" s="42"/>
      <c r="T37" s="40" t="s">
        <v>244</v>
      </c>
      <c r="U37" s="40">
        <v>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7.63"/>
    <col customWidth="1" min="4" max="4" width="7.75"/>
    <col customWidth="1" min="5" max="5" width="7.63"/>
    <col customWidth="1" min="6" max="6" width="9.13"/>
    <col customWidth="1" min="7" max="8" width="7.63"/>
    <col customWidth="1" min="9" max="9" width="9.75"/>
    <col customWidth="1" min="10" max="10" width="14.5"/>
    <col customWidth="1" min="11" max="11" width="8.5"/>
    <col customWidth="1" min="12" max="12" width="8.63"/>
    <col customWidth="1" min="13" max="13" width="17.5"/>
    <col customWidth="1" min="14" max="14" width="12.63"/>
    <col customWidth="1" min="15" max="15" width="5.25"/>
    <col customWidth="1" min="16" max="16" width="21.63"/>
    <col customWidth="1" min="17" max="17" width="7.88"/>
    <col customWidth="1" min="18" max="18" width="12.63"/>
    <col customWidth="1" min="19" max="19" width="5.25"/>
    <col customWidth="1" min="20" max="20" width="12.25"/>
    <col customWidth="1" min="21" max="21" width="7.88"/>
    <col customWidth="1" min="22" max="22" width="12.63"/>
    <col customWidth="1" min="23" max="23" width="5.25"/>
    <col customWidth="1" min="24" max="24" width="10.63"/>
    <col customWidth="1" min="25" max="25" width="7.88"/>
    <col customWidth="1" min="26" max="29" width="12.63"/>
  </cols>
  <sheetData>
    <row r="1">
      <c r="A1" s="3" t="s">
        <v>1</v>
      </c>
      <c r="B1" s="3" t="s">
        <v>5</v>
      </c>
      <c r="C1" s="27" t="s">
        <v>114</v>
      </c>
      <c r="D1" s="27" t="s">
        <v>115</v>
      </c>
      <c r="E1" s="27" t="s">
        <v>193</v>
      </c>
      <c r="F1" s="27" t="s">
        <v>194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O1" s="8" t="s">
        <v>1</v>
      </c>
      <c r="P1" s="8" t="s">
        <v>14</v>
      </c>
      <c r="Q1" s="8" t="s">
        <v>15</v>
      </c>
      <c r="S1" s="8" t="s">
        <v>1</v>
      </c>
      <c r="T1" s="8" t="s">
        <v>14</v>
      </c>
      <c r="U1" s="8" t="s">
        <v>15</v>
      </c>
      <c r="W1" s="8" t="s">
        <v>1</v>
      </c>
      <c r="X1" s="8" t="s">
        <v>14</v>
      </c>
      <c r="Y1" s="8" t="s">
        <v>15</v>
      </c>
    </row>
    <row r="2">
      <c r="A2" s="12" t="s">
        <v>16</v>
      </c>
      <c r="B2" s="21">
        <v>51769.0</v>
      </c>
      <c r="C2" s="21">
        <v>7444.0</v>
      </c>
      <c r="D2" s="21">
        <v>11334.0</v>
      </c>
      <c r="E2" s="21">
        <f t="shared" ref="E2:E31" si="1">sum(C2:D2)</f>
        <v>18778</v>
      </c>
      <c r="F2" s="35">
        <f t="shared" ref="F2:F32" si="2">if((E2&gt;0),round((E2/B2)*100, 2) , 0)</f>
        <v>36.27</v>
      </c>
      <c r="G2" s="21">
        <v>22021.0</v>
      </c>
      <c r="H2" s="13">
        <f t="shared" ref="H2:H31" si="3">(B2-E2-G2)</f>
        <v>10970</v>
      </c>
      <c r="I2" s="21">
        <v>2011.0</v>
      </c>
      <c r="J2" s="13">
        <f t="shared" ref="J2:J31" si="4">sum(H2-I2)</f>
        <v>8959</v>
      </c>
      <c r="K2" s="21">
        <v>11.2</v>
      </c>
      <c r="L2" s="13">
        <f t="shared" ref="L2:L31" si="5">sum(C2+D2+G2+H2)</f>
        <v>51769</v>
      </c>
      <c r="M2" s="22" t="s">
        <v>20</v>
      </c>
      <c r="O2" s="39" t="s">
        <v>16</v>
      </c>
      <c r="P2" s="39" t="s">
        <v>48</v>
      </c>
      <c r="Q2" s="21">
        <v>1500.0</v>
      </c>
      <c r="S2" s="40" t="s">
        <v>23</v>
      </c>
      <c r="T2" s="40" t="s">
        <v>220</v>
      </c>
      <c r="U2" s="40">
        <v>10.0</v>
      </c>
      <c r="W2" s="40" t="s">
        <v>67</v>
      </c>
      <c r="X2" s="40" t="s">
        <v>38</v>
      </c>
      <c r="Y2" s="40">
        <v>400.0</v>
      </c>
    </row>
    <row r="3">
      <c r="A3" s="22" t="s">
        <v>28</v>
      </c>
      <c r="B3" s="21">
        <v>52127.0</v>
      </c>
      <c r="C3" s="21">
        <v>7215.0</v>
      </c>
      <c r="D3" s="21">
        <v>10878.0</v>
      </c>
      <c r="E3" s="21">
        <f t="shared" si="1"/>
        <v>18093</v>
      </c>
      <c r="F3" s="35">
        <f t="shared" si="2"/>
        <v>34.71</v>
      </c>
      <c r="G3" s="21">
        <v>23444.0</v>
      </c>
      <c r="H3" s="13">
        <f t="shared" si="3"/>
        <v>10590</v>
      </c>
      <c r="I3" s="21">
        <v>321.0</v>
      </c>
      <c r="J3" s="13">
        <f t="shared" si="4"/>
        <v>10269</v>
      </c>
      <c r="K3" s="21">
        <v>9.15</v>
      </c>
      <c r="L3" s="13">
        <f t="shared" si="5"/>
        <v>52127</v>
      </c>
      <c r="M3" s="22" t="s">
        <v>20</v>
      </c>
      <c r="O3" s="40"/>
      <c r="P3" s="40" t="s">
        <v>35</v>
      </c>
      <c r="Q3" s="40">
        <v>9.0</v>
      </c>
      <c r="S3" s="42"/>
      <c r="T3" s="40" t="s">
        <v>220</v>
      </c>
      <c r="U3" s="40">
        <v>10.0</v>
      </c>
      <c r="W3" s="42"/>
      <c r="X3" s="40" t="s">
        <v>176</v>
      </c>
      <c r="Y3" s="40">
        <v>231.0</v>
      </c>
    </row>
    <row r="4">
      <c r="A4" s="22" t="s">
        <v>33</v>
      </c>
      <c r="B4" s="21">
        <v>56236.0</v>
      </c>
      <c r="C4" s="21">
        <v>6230.0</v>
      </c>
      <c r="D4" s="21">
        <v>11857.0</v>
      </c>
      <c r="E4" s="21">
        <f t="shared" si="1"/>
        <v>18087</v>
      </c>
      <c r="F4" s="35">
        <f t="shared" si="2"/>
        <v>32.16</v>
      </c>
      <c r="G4" s="21">
        <v>23884.0</v>
      </c>
      <c r="H4" s="13">
        <f t="shared" si="3"/>
        <v>14265</v>
      </c>
      <c r="I4" s="21">
        <v>631.0</v>
      </c>
      <c r="J4" s="13">
        <f t="shared" si="4"/>
        <v>13634</v>
      </c>
      <c r="K4" s="21">
        <v>50.01</v>
      </c>
      <c r="L4" s="13">
        <f t="shared" si="5"/>
        <v>56236</v>
      </c>
      <c r="M4" s="22" t="s">
        <v>20</v>
      </c>
      <c r="O4" s="40"/>
      <c r="P4" s="40" t="s">
        <v>122</v>
      </c>
      <c r="Q4" s="40">
        <v>311.0</v>
      </c>
      <c r="S4" s="40"/>
      <c r="T4" s="40" t="s">
        <v>122</v>
      </c>
      <c r="U4" s="40">
        <v>742.0</v>
      </c>
      <c r="W4" s="42"/>
      <c r="X4" s="40" t="s">
        <v>138</v>
      </c>
      <c r="Y4" s="40">
        <v>56.0</v>
      </c>
    </row>
    <row r="5">
      <c r="A5" s="12" t="s">
        <v>40</v>
      </c>
      <c r="B5" s="21">
        <v>57624.0</v>
      </c>
      <c r="C5" s="21">
        <v>8600.0</v>
      </c>
      <c r="D5" s="21">
        <v>14826.0</v>
      </c>
      <c r="E5" s="21">
        <f t="shared" si="1"/>
        <v>23426</v>
      </c>
      <c r="F5" s="35">
        <f t="shared" si="2"/>
        <v>40.65</v>
      </c>
      <c r="G5" s="21">
        <v>22382.0</v>
      </c>
      <c r="H5" s="13">
        <f t="shared" si="3"/>
        <v>11816</v>
      </c>
      <c r="I5" s="21">
        <v>3408.0</v>
      </c>
      <c r="J5" s="13">
        <f t="shared" si="4"/>
        <v>8408</v>
      </c>
      <c r="K5" s="21">
        <v>42.52</v>
      </c>
      <c r="L5" s="13">
        <f t="shared" si="5"/>
        <v>57624</v>
      </c>
      <c r="M5" s="22" t="s">
        <v>20</v>
      </c>
      <c r="O5" s="40"/>
      <c r="P5" s="40" t="s">
        <v>222</v>
      </c>
      <c r="Q5" s="40">
        <v>191.0</v>
      </c>
      <c r="S5" s="40"/>
      <c r="T5" s="40" t="s">
        <v>223</v>
      </c>
      <c r="U5" s="40">
        <v>165.0</v>
      </c>
      <c r="W5" s="40" t="s">
        <v>74</v>
      </c>
      <c r="X5" s="40" t="s">
        <v>138</v>
      </c>
      <c r="Y5" s="40">
        <v>68.0</v>
      </c>
    </row>
    <row r="6">
      <c r="A6" s="12" t="s">
        <v>47</v>
      </c>
      <c r="B6" s="21">
        <v>112011.0</v>
      </c>
      <c r="C6" s="21">
        <v>10654.0</v>
      </c>
      <c r="D6" s="21">
        <v>24203.0</v>
      </c>
      <c r="E6" s="21">
        <f t="shared" si="1"/>
        <v>34857</v>
      </c>
      <c r="F6" s="35">
        <f t="shared" si="2"/>
        <v>31.12</v>
      </c>
      <c r="G6" s="21">
        <v>56108.0</v>
      </c>
      <c r="H6" s="13">
        <f t="shared" si="3"/>
        <v>21046</v>
      </c>
      <c r="I6" s="21">
        <v>2330.0</v>
      </c>
      <c r="J6" s="13">
        <f t="shared" si="4"/>
        <v>18716</v>
      </c>
      <c r="K6" s="21">
        <v>79.38</v>
      </c>
      <c r="L6" s="13">
        <f t="shared" si="5"/>
        <v>112011</v>
      </c>
      <c r="M6" s="22" t="s">
        <v>20</v>
      </c>
      <c r="O6" s="40" t="s">
        <v>28</v>
      </c>
      <c r="P6" s="40" t="s">
        <v>96</v>
      </c>
      <c r="Q6" s="40">
        <v>93.0</v>
      </c>
      <c r="S6" s="40"/>
      <c r="T6" s="40" t="s">
        <v>138</v>
      </c>
      <c r="U6" s="40">
        <v>85.0</v>
      </c>
      <c r="W6" s="40" t="s">
        <v>77</v>
      </c>
      <c r="X6" s="39" t="s">
        <v>176</v>
      </c>
      <c r="Y6" s="40">
        <v>188.0</v>
      </c>
    </row>
    <row r="7">
      <c r="A7" s="57" t="s">
        <v>52</v>
      </c>
      <c r="B7" s="50">
        <v>126950.0</v>
      </c>
      <c r="C7" s="50">
        <v>18991.0</v>
      </c>
      <c r="D7" s="50">
        <v>28861.0</v>
      </c>
      <c r="E7" s="21">
        <f t="shared" si="1"/>
        <v>47852</v>
      </c>
      <c r="F7" s="51">
        <f t="shared" si="2"/>
        <v>37.69</v>
      </c>
      <c r="G7" s="50">
        <v>56913.0</v>
      </c>
      <c r="H7" s="52">
        <f t="shared" si="3"/>
        <v>22185</v>
      </c>
      <c r="I7" s="50">
        <v>2198.0</v>
      </c>
      <c r="J7" s="52">
        <f t="shared" si="4"/>
        <v>19987</v>
      </c>
      <c r="K7" s="50">
        <v>57.24</v>
      </c>
      <c r="L7" s="52">
        <f t="shared" si="5"/>
        <v>126950</v>
      </c>
      <c r="M7" s="49" t="s">
        <v>20</v>
      </c>
      <c r="O7" s="40"/>
      <c r="P7" s="39" t="s">
        <v>138</v>
      </c>
      <c r="Q7" s="21">
        <v>78.0</v>
      </c>
      <c r="S7" s="40"/>
      <c r="T7" s="40" t="s">
        <v>225</v>
      </c>
      <c r="U7" s="40">
        <v>85.0</v>
      </c>
      <c r="W7" s="42"/>
      <c r="X7" s="40" t="s">
        <v>138</v>
      </c>
      <c r="Y7" s="40">
        <v>32.0</v>
      </c>
    </row>
    <row r="8">
      <c r="A8" s="58" t="s">
        <v>56</v>
      </c>
      <c r="B8" s="54">
        <v>55329.0</v>
      </c>
      <c r="C8" s="54">
        <v>3352.0</v>
      </c>
      <c r="D8" s="54">
        <v>7510.0</v>
      </c>
      <c r="E8" s="21">
        <f t="shared" si="1"/>
        <v>10862</v>
      </c>
      <c r="F8" s="55">
        <f t="shared" si="2"/>
        <v>19.63</v>
      </c>
      <c r="G8" s="54">
        <v>31052.0</v>
      </c>
      <c r="H8" s="56">
        <f t="shared" si="3"/>
        <v>13415</v>
      </c>
      <c r="I8" s="54">
        <v>3313.0</v>
      </c>
      <c r="J8" s="56">
        <f t="shared" si="4"/>
        <v>10102</v>
      </c>
      <c r="K8" s="54">
        <v>4.98</v>
      </c>
      <c r="L8" s="56">
        <f t="shared" si="5"/>
        <v>55329</v>
      </c>
      <c r="M8" s="53" t="s">
        <v>227</v>
      </c>
      <c r="O8" s="40"/>
      <c r="P8" s="40" t="s">
        <v>228</v>
      </c>
      <c r="Q8" s="40">
        <v>150.0</v>
      </c>
      <c r="S8" s="40"/>
      <c r="T8" s="40" t="s">
        <v>140</v>
      </c>
      <c r="U8" s="40">
        <v>210.0</v>
      </c>
      <c r="W8" s="40"/>
      <c r="X8" s="40" t="s">
        <v>122</v>
      </c>
      <c r="Y8" s="40">
        <v>568.0</v>
      </c>
    </row>
    <row r="9">
      <c r="A9" s="12" t="s">
        <v>60</v>
      </c>
      <c r="B9" s="21">
        <v>57306.0</v>
      </c>
      <c r="C9" s="21">
        <v>8154.0</v>
      </c>
      <c r="D9" s="21">
        <v>12876.0</v>
      </c>
      <c r="E9" s="21">
        <f t="shared" si="1"/>
        <v>21030</v>
      </c>
      <c r="F9" s="35">
        <f t="shared" si="2"/>
        <v>36.7</v>
      </c>
      <c r="G9" s="21">
        <v>25507.0</v>
      </c>
      <c r="H9" s="13">
        <f t="shared" si="3"/>
        <v>10769</v>
      </c>
      <c r="I9" s="21">
        <v>726.0</v>
      </c>
      <c r="J9" s="13">
        <f t="shared" si="4"/>
        <v>10043</v>
      </c>
      <c r="K9" s="21">
        <v>49.06</v>
      </c>
      <c r="L9" s="13">
        <f t="shared" si="5"/>
        <v>57306</v>
      </c>
      <c r="M9" s="22" t="s">
        <v>20</v>
      </c>
      <c r="O9" s="40" t="s">
        <v>33</v>
      </c>
      <c r="P9" s="40" t="s">
        <v>22</v>
      </c>
      <c r="Q9" s="40">
        <v>631.0</v>
      </c>
      <c r="S9" s="40"/>
      <c r="T9" s="40" t="s">
        <v>140</v>
      </c>
      <c r="U9" s="40">
        <v>210.0</v>
      </c>
      <c r="W9" s="40" t="s">
        <v>88</v>
      </c>
      <c r="X9" s="40" t="s">
        <v>138</v>
      </c>
      <c r="Y9" s="40">
        <v>72.0</v>
      </c>
    </row>
    <row r="10">
      <c r="A10" s="12" t="s">
        <v>64</v>
      </c>
      <c r="B10" s="21">
        <v>44722.0</v>
      </c>
      <c r="C10" s="21">
        <v>4345.0</v>
      </c>
      <c r="D10" s="21">
        <v>10207.0</v>
      </c>
      <c r="E10" s="21">
        <f t="shared" si="1"/>
        <v>14552</v>
      </c>
      <c r="F10" s="35">
        <f t="shared" si="2"/>
        <v>32.54</v>
      </c>
      <c r="G10" s="21">
        <v>16982.0</v>
      </c>
      <c r="H10" s="13">
        <f t="shared" si="3"/>
        <v>13188</v>
      </c>
      <c r="I10" s="21">
        <v>4827.0</v>
      </c>
      <c r="J10" s="13">
        <f t="shared" si="4"/>
        <v>8361</v>
      </c>
      <c r="K10" s="21">
        <v>23.14</v>
      </c>
      <c r="L10" s="13">
        <f t="shared" si="5"/>
        <v>44722</v>
      </c>
      <c r="M10" s="22" t="s">
        <v>20</v>
      </c>
      <c r="O10" s="40" t="s">
        <v>40</v>
      </c>
      <c r="P10" s="40" t="s">
        <v>97</v>
      </c>
      <c r="Q10" s="40">
        <v>2000.0</v>
      </c>
      <c r="S10" s="40" t="s">
        <v>59</v>
      </c>
      <c r="T10" s="40" t="s">
        <v>97</v>
      </c>
      <c r="U10" s="40">
        <v>2100.0</v>
      </c>
      <c r="W10" s="42"/>
      <c r="X10" s="40" t="s">
        <v>96</v>
      </c>
      <c r="Y10" s="40">
        <v>80.0</v>
      </c>
    </row>
    <row r="11">
      <c r="A11" s="12" t="s">
        <v>68</v>
      </c>
      <c r="B11" s="21">
        <v>56238.0</v>
      </c>
      <c r="C11" s="21">
        <v>11343.0</v>
      </c>
      <c r="D11" s="21">
        <v>13240.0</v>
      </c>
      <c r="E11" s="21">
        <f t="shared" si="1"/>
        <v>24583</v>
      </c>
      <c r="F11" s="35">
        <f t="shared" si="2"/>
        <v>43.71</v>
      </c>
      <c r="G11" s="21">
        <v>21434.0</v>
      </c>
      <c r="H11" s="13">
        <f t="shared" si="3"/>
        <v>10221</v>
      </c>
      <c r="I11" s="21">
        <v>2786.0</v>
      </c>
      <c r="J11" s="13">
        <f t="shared" si="4"/>
        <v>7435</v>
      </c>
      <c r="K11" s="21">
        <v>39.55</v>
      </c>
      <c r="L11" s="13">
        <f t="shared" si="5"/>
        <v>56238</v>
      </c>
      <c r="M11" s="22" t="s">
        <v>233</v>
      </c>
      <c r="O11" s="42"/>
      <c r="P11" s="40" t="s">
        <v>234</v>
      </c>
      <c r="Q11" s="40">
        <v>500.0</v>
      </c>
      <c r="S11" s="40"/>
      <c r="T11" s="40" t="s">
        <v>145</v>
      </c>
      <c r="U11" s="40">
        <v>140.0</v>
      </c>
      <c r="W11" s="40" t="s">
        <v>98</v>
      </c>
      <c r="X11" s="40" t="s">
        <v>54</v>
      </c>
      <c r="Y11" s="40">
        <v>5.0</v>
      </c>
    </row>
    <row r="12">
      <c r="A12" s="12" t="s">
        <v>23</v>
      </c>
      <c r="B12" s="21">
        <v>75471.0</v>
      </c>
      <c r="C12" s="21">
        <v>10128.0</v>
      </c>
      <c r="D12" s="21">
        <v>16721.0</v>
      </c>
      <c r="E12" s="21">
        <f t="shared" si="1"/>
        <v>26849</v>
      </c>
      <c r="F12" s="35">
        <f t="shared" si="2"/>
        <v>35.58</v>
      </c>
      <c r="G12" s="21">
        <v>33360.0</v>
      </c>
      <c r="H12" s="13">
        <f t="shared" si="3"/>
        <v>15262</v>
      </c>
      <c r="I12" s="21">
        <v>1517.0</v>
      </c>
      <c r="J12" s="13">
        <f t="shared" si="4"/>
        <v>13745</v>
      </c>
      <c r="K12" s="21">
        <v>35.33</v>
      </c>
      <c r="L12" s="13">
        <f t="shared" si="5"/>
        <v>75471</v>
      </c>
      <c r="M12" s="22" t="s">
        <v>20</v>
      </c>
      <c r="O12" s="42"/>
      <c r="P12" s="40" t="s">
        <v>222</v>
      </c>
      <c r="Q12" s="40">
        <v>276.0</v>
      </c>
      <c r="S12" s="40"/>
      <c r="T12" s="40" t="s">
        <v>223</v>
      </c>
      <c r="U12" s="40">
        <v>379.0</v>
      </c>
      <c r="W12" s="42"/>
      <c r="X12" s="40" t="s">
        <v>176</v>
      </c>
      <c r="Y12" s="40">
        <v>259.0</v>
      </c>
    </row>
    <row r="13">
      <c r="A13" s="12" t="s">
        <v>59</v>
      </c>
      <c r="B13" s="21">
        <v>118670.0</v>
      </c>
      <c r="C13" s="21">
        <v>15108.0</v>
      </c>
      <c r="D13" s="21">
        <v>24997.0</v>
      </c>
      <c r="E13" s="21">
        <f t="shared" si="1"/>
        <v>40105</v>
      </c>
      <c r="F13" s="35">
        <f t="shared" si="2"/>
        <v>33.8</v>
      </c>
      <c r="G13" s="21">
        <v>58118.0</v>
      </c>
      <c r="H13" s="13">
        <f t="shared" si="3"/>
        <v>20447</v>
      </c>
      <c r="I13" s="21">
        <v>5514.0</v>
      </c>
      <c r="J13" s="13">
        <f t="shared" si="4"/>
        <v>14933</v>
      </c>
      <c r="K13" s="21">
        <v>139.66</v>
      </c>
      <c r="L13" s="13">
        <f t="shared" si="5"/>
        <v>118670</v>
      </c>
      <c r="M13" s="22" t="s">
        <v>20</v>
      </c>
      <c r="O13" s="40"/>
      <c r="P13" s="40" t="s">
        <v>122</v>
      </c>
      <c r="Q13" s="40">
        <v>435.0</v>
      </c>
      <c r="S13" s="40"/>
      <c r="T13" s="40" t="s">
        <v>138</v>
      </c>
      <c r="U13" s="40">
        <v>47.0</v>
      </c>
      <c r="W13" s="42"/>
      <c r="X13" s="40" t="s">
        <v>122</v>
      </c>
      <c r="Y13" s="40">
        <v>370.0</v>
      </c>
    </row>
    <row r="14">
      <c r="A14" s="57" t="s">
        <v>70</v>
      </c>
      <c r="B14" s="50">
        <v>113467.0</v>
      </c>
      <c r="C14" s="50">
        <v>20645.0</v>
      </c>
      <c r="D14" s="50">
        <v>19552.0</v>
      </c>
      <c r="E14" s="21">
        <f t="shared" si="1"/>
        <v>40197</v>
      </c>
      <c r="F14" s="51">
        <f t="shared" si="2"/>
        <v>35.43</v>
      </c>
      <c r="G14" s="50">
        <v>53847.0</v>
      </c>
      <c r="H14" s="52">
        <f t="shared" si="3"/>
        <v>19423</v>
      </c>
      <c r="I14" s="50">
        <v>1210.0</v>
      </c>
      <c r="J14" s="52">
        <f t="shared" si="4"/>
        <v>18213</v>
      </c>
      <c r="K14" s="50">
        <v>83.23</v>
      </c>
      <c r="L14" s="52">
        <f t="shared" si="5"/>
        <v>113467</v>
      </c>
      <c r="M14" s="49" t="s">
        <v>20</v>
      </c>
      <c r="O14" s="40"/>
      <c r="P14" s="40" t="s">
        <v>138</v>
      </c>
      <c r="Q14" s="40">
        <v>72.0</v>
      </c>
      <c r="S14" s="42"/>
      <c r="T14" s="40" t="s">
        <v>122</v>
      </c>
      <c r="U14" s="40">
        <v>429.0</v>
      </c>
      <c r="W14" s="40" t="s">
        <v>25</v>
      </c>
      <c r="X14" s="40" t="s">
        <v>138</v>
      </c>
      <c r="Y14" s="40">
        <v>74.0</v>
      </c>
    </row>
    <row r="15">
      <c r="A15" s="58" t="s">
        <v>75</v>
      </c>
      <c r="B15" s="54">
        <v>80732.0</v>
      </c>
      <c r="C15" s="54">
        <v>10705.0</v>
      </c>
      <c r="D15" s="54">
        <v>18644.0</v>
      </c>
      <c r="E15" s="21">
        <f t="shared" si="1"/>
        <v>29349</v>
      </c>
      <c r="F15" s="55">
        <f t="shared" si="2"/>
        <v>36.35</v>
      </c>
      <c r="G15" s="54">
        <v>38497.0</v>
      </c>
      <c r="H15" s="56">
        <f t="shared" si="3"/>
        <v>12886</v>
      </c>
      <c r="I15" s="54">
        <v>3507.0</v>
      </c>
      <c r="J15" s="56">
        <f t="shared" si="4"/>
        <v>9379</v>
      </c>
      <c r="K15" s="54">
        <v>0.0</v>
      </c>
      <c r="L15" s="56">
        <f t="shared" si="5"/>
        <v>80732</v>
      </c>
      <c r="M15" s="53" t="s">
        <v>235</v>
      </c>
      <c r="O15" s="40"/>
      <c r="P15" s="40" t="s">
        <v>35</v>
      </c>
      <c r="Q15" s="40">
        <v>5.0</v>
      </c>
      <c r="S15" s="40"/>
      <c r="T15" s="40" t="s">
        <v>140</v>
      </c>
      <c r="U15" s="40">
        <v>1060.0</v>
      </c>
      <c r="W15" s="42"/>
      <c r="X15" s="40" t="s">
        <v>122</v>
      </c>
      <c r="Y15" s="40">
        <v>1026.0</v>
      </c>
    </row>
    <row r="16">
      <c r="A16" s="12" t="s">
        <v>27</v>
      </c>
      <c r="B16" s="21">
        <v>66840.0</v>
      </c>
      <c r="C16" s="21">
        <v>7576.0</v>
      </c>
      <c r="D16" s="21">
        <v>11450.0</v>
      </c>
      <c r="E16" s="21">
        <f t="shared" si="1"/>
        <v>19026</v>
      </c>
      <c r="F16" s="35">
        <f t="shared" si="2"/>
        <v>28.46</v>
      </c>
      <c r="G16" s="21">
        <v>39160.0</v>
      </c>
      <c r="H16" s="13">
        <f t="shared" si="3"/>
        <v>8654</v>
      </c>
      <c r="I16" s="21">
        <v>2315.0</v>
      </c>
      <c r="J16" s="13">
        <f t="shared" si="4"/>
        <v>6339</v>
      </c>
      <c r="K16" s="21">
        <v>45.1</v>
      </c>
      <c r="L16" s="13">
        <f t="shared" si="5"/>
        <v>66840</v>
      </c>
      <c r="M16" s="22" t="s">
        <v>20</v>
      </c>
      <c r="O16" s="40"/>
      <c r="P16" s="39" t="s">
        <v>236</v>
      </c>
      <c r="Q16" s="40">
        <v>120.0</v>
      </c>
      <c r="S16" s="42"/>
      <c r="T16" s="40" t="s">
        <v>138</v>
      </c>
      <c r="U16" s="40">
        <v>67.0</v>
      </c>
      <c r="W16" s="42"/>
      <c r="X16" s="40" t="s">
        <v>176</v>
      </c>
      <c r="Y16" s="40">
        <v>242.0</v>
      </c>
    </row>
    <row r="17">
      <c r="A17" s="12" t="s">
        <v>31</v>
      </c>
      <c r="B17" s="21">
        <v>58433.0</v>
      </c>
      <c r="C17" s="21">
        <v>7804.0</v>
      </c>
      <c r="D17" s="21">
        <v>11519.0</v>
      </c>
      <c r="E17" s="21">
        <f t="shared" si="1"/>
        <v>19323</v>
      </c>
      <c r="F17" s="35">
        <f t="shared" si="2"/>
        <v>33.07</v>
      </c>
      <c r="G17" s="21">
        <v>29284.0</v>
      </c>
      <c r="H17" s="13">
        <f t="shared" si="3"/>
        <v>9826</v>
      </c>
      <c r="I17" s="21">
        <v>568.0</v>
      </c>
      <c r="J17" s="13">
        <f t="shared" si="4"/>
        <v>9258</v>
      </c>
      <c r="K17" s="21">
        <v>57.35</v>
      </c>
      <c r="L17" s="13">
        <f t="shared" si="5"/>
        <v>58433</v>
      </c>
      <c r="M17" s="22" t="s">
        <v>20</v>
      </c>
      <c r="O17" s="40" t="s">
        <v>47</v>
      </c>
      <c r="P17" s="40" t="s">
        <v>38</v>
      </c>
      <c r="Q17" s="40">
        <v>400.0</v>
      </c>
      <c r="S17" s="42"/>
      <c r="T17" s="40" t="s">
        <v>220</v>
      </c>
      <c r="U17" s="40">
        <v>50.0</v>
      </c>
      <c r="W17" s="40" t="s">
        <v>49</v>
      </c>
      <c r="X17" s="40" t="s">
        <v>176</v>
      </c>
      <c r="Y17" s="40">
        <v>235.0</v>
      </c>
    </row>
    <row r="18">
      <c r="A18" s="12" t="s">
        <v>46</v>
      </c>
      <c r="B18" s="21">
        <v>54716.0</v>
      </c>
      <c r="C18" s="21">
        <v>5610.0</v>
      </c>
      <c r="D18" s="21">
        <v>12405.0</v>
      </c>
      <c r="E18" s="21">
        <f t="shared" si="1"/>
        <v>18015</v>
      </c>
      <c r="F18" s="35">
        <f t="shared" si="2"/>
        <v>32.92</v>
      </c>
      <c r="G18" s="21">
        <v>21797.0</v>
      </c>
      <c r="H18" s="13">
        <f t="shared" si="3"/>
        <v>14904</v>
      </c>
      <c r="I18" s="21">
        <v>856.0</v>
      </c>
      <c r="J18" s="13">
        <f t="shared" si="4"/>
        <v>14048</v>
      </c>
      <c r="K18" s="21">
        <v>0.0</v>
      </c>
      <c r="L18" s="13">
        <f t="shared" si="5"/>
        <v>54716</v>
      </c>
      <c r="M18" s="22" t="s">
        <v>20</v>
      </c>
      <c r="O18" s="40"/>
      <c r="P18" s="40" t="s">
        <v>22</v>
      </c>
      <c r="Q18" s="40">
        <v>1300.0</v>
      </c>
      <c r="S18" s="42"/>
      <c r="T18" s="40" t="s">
        <v>122</v>
      </c>
      <c r="U18" s="40">
        <v>971.0</v>
      </c>
      <c r="W18" s="42"/>
      <c r="X18" s="40" t="s">
        <v>176</v>
      </c>
      <c r="Y18" s="40">
        <v>233.0</v>
      </c>
    </row>
    <row r="19">
      <c r="A19" s="12" t="s">
        <v>51</v>
      </c>
      <c r="B19" s="21">
        <v>40528.0</v>
      </c>
      <c r="C19" s="21">
        <v>3505.0</v>
      </c>
      <c r="D19" s="21">
        <v>6288.0</v>
      </c>
      <c r="E19" s="21">
        <f t="shared" si="1"/>
        <v>9793</v>
      </c>
      <c r="F19" s="35">
        <f t="shared" si="2"/>
        <v>24.16</v>
      </c>
      <c r="G19" s="21">
        <v>19641.0</v>
      </c>
      <c r="H19" s="13">
        <f t="shared" si="3"/>
        <v>11094</v>
      </c>
      <c r="I19" s="21">
        <v>3335.0</v>
      </c>
      <c r="J19" s="13">
        <f t="shared" si="4"/>
        <v>7759</v>
      </c>
      <c r="K19" s="21">
        <v>77.25</v>
      </c>
      <c r="L19" s="13">
        <f t="shared" si="5"/>
        <v>40528</v>
      </c>
      <c r="M19" s="22" t="s">
        <v>20</v>
      </c>
      <c r="O19" s="40"/>
      <c r="P19" s="40" t="s">
        <v>22</v>
      </c>
      <c r="Q19" s="40">
        <v>630.0</v>
      </c>
      <c r="S19" s="42"/>
      <c r="T19" s="40" t="s">
        <v>176</v>
      </c>
      <c r="U19" s="40">
        <v>271.0</v>
      </c>
      <c r="W19" s="42"/>
      <c r="X19" s="40" t="s">
        <v>138</v>
      </c>
      <c r="Y19" s="40">
        <v>53.0</v>
      </c>
    </row>
    <row r="20">
      <c r="A20" s="12" t="s">
        <v>57</v>
      </c>
      <c r="B20" s="21">
        <v>70348.0</v>
      </c>
      <c r="C20" s="21">
        <v>4433.0</v>
      </c>
      <c r="D20" s="21">
        <v>12902.0</v>
      </c>
      <c r="E20" s="21">
        <f t="shared" si="1"/>
        <v>17335</v>
      </c>
      <c r="F20" s="35">
        <f t="shared" si="2"/>
        <v>24.64</v>
      </c>
      <c r="G20" s="21">
        <v>42305.0</v>
      </c>
      <c r="H20" s="13">
        <f t="shared" si="3"/>
        <v>10708</v>
      </c>
      <c r="I20" s="21">
        <v>1399.0</v>
      </c>
      <c r="J20" s="13">
        <f t="shared" si="4"/>
        <v>9309</v>
      </c>
      <c r="K20" s="21">
        <v>149.7</v>
      </c>
      <c r="L20" s="13">
        <f t="shared" si="5"/>
        <v>70348</v>
      </c>
      <c r="M20" s="22" t="s">
        <v>20</v>
      </c>
      <c r="O20" s="40" t="s">
        <v>52</v>
      </c>
      <c r="P20" s="39" t="s">
        <v>176</v>
      </c>
      <c r="Q20" s="40">
        <v>332.0</v>
      </c>
      <c r="S20" s="40" t="s">
        <v>70</v>
      </c>
      <c r="T20" s="40" t="s">
        <v>140</v>
      </c>
      <c r="U20" s="40">
        <v>1060.0</v>
      </c>
      <c r="W20" s="42"/>
      <c r="X20" s="40" t="s">
        <v>138</v>
      </c>
      <c r="Y20" s="40">
        <v>73.0</v>
      </c>
    </row>
    <row r="21">
      <c r="A21" s="57" t="s">
        <v>62</v>
      </c>
      <c r="B21" s="50">
        <v>74239.0</v>
      </c>
      <c r="C21" s="50">
        <v>10243.0</v>
      </c>
      <c r="D21" s="50">
        <v>11492.0</v>
      </c>
      <c r="E21" s="21">
        <f t="shared" si="1"/>
        <v>21735</v>
      </c>
      <c r="F21" s="51">
        <f t="shared" si="2"/>
        <v>29.28</v>
      </c>
      <c r="G21" s="50">
        <v>37909.0</v>
      </c>
      <c r="H21" s="52">
        <f t="shared" si="3"/>
        <v>14595</v>
      </c>
      <c r="I21" s="50">
        <v>1742.0</v>
      </c>
      <c r="J21" s="52">
        <f t="shared" si="4"/>
        <v>12853</v>
      </c>
      <c r="K21" s="50">
        <v>44.18</v>
      </c>
      <c r="L21" s="52">
        <f t="shared" si="5"/>
        <v>74239</v>
      </c>
      <c r="M21" s="49" t="s">
        <v>20</v>
      </c>
      <c r="O21" s="40"/>
      <c r="P21" s="40" t="s">
        <v>138</v>
      </c>
      <c r="Q21" s="40">
        <v>120.0</v>
      </c>
      <c r="S21" s="40"/>
      <c r="T21" s="40" t="s">
        <v>238</v>
      </c>
      <c r="U21" s="40">
        <v>150.0</v>
      </c>
      <c r="W21" s="42"/>
      <c r="X21" s="40" t="s">
        <v>122</v>
      </c>
      <c r="Y21" s="40">
        <v>528.0</v>
      </c>
    </row>
    <row r="22">
      <c r="A22" s="58" t="s">
        <v>67</v>
      </c>
      <c r="B22" s="54">
        <v>37689.0</v>
      </c>
      <c r="C22" s="54">
        <v>5407.0</v>
      </c>
      <c r="D22" s="54">
        <v>4897.0</v>
      </c>
      <c r="E22" s="21">
        <f t="shared" si="1"/>
        <v>10304</v>
      </c>
      <c r="F22" s="55">
        <f t="shared" si="2"/>
        <v>27.34</v>
      </c>
      <c r="G22" s="59">
        <v>17852.0</v>
      </c>
      <c r="H22" s="56">
        <f t="shared" si="3"/>
        <v>9533</v>
      </c>
      <c r="I22" s="54">
        <v>686.0</v>
      </c>
      <c r="J22" s="56">
        <f t="shared" si="4"/>
        <v>8847</v>
      </c>
      <c r="K22" s="54">
        <v>5.52</v>
      </c>
      <c r="L22" s="56">
        <f t="shared" si="5"/>
        <v>37689</v>
      </c>
      <c r="M22" s="53" t="s">
        <v>239</v>
      </c>
      <c r="N22" s="45"/>
      <c r="O22" s="40"/>
      <c r="P22" s="40" t="s">
        <v>122</v>
      </c>
      <c r="Q22" s="40">
        <v>806.0</v>
      </c>
      <c r="S22" s="40" t="s">
        <v>75</v>
      </c>
      <c r="T22" s="40" t="s">
        <v>140</v>
      </c>
      <c r="U22" s="40">
        <v>1060.0</v>
      </c>
      <c r="W22" s="40" t="s">
        <v>65</v>
      </c>
      <c r="X22" s="40" t="s">
        <v>240</v>
      </c>
      <c r="Y22" s="40">
        <v>214.0</v>
      </c>
    </row>
    <row r="23">
      <c r="A23" s="12" t="s">
        <v>74</v>
      </c>
      <c r="B23" s="21">
        <v>38346.0</v>
      </c>
      <c r="C23" s="21">
        <v>4551.0</v>
      </c>
      <c r="D23" s="21">
        <v>7500.0</v>
      </c>
      <c r="E23" s="21">
        <f t="shared" si="1"/>
        <v>12051</v>
      </c>
      <c r="F23" s="35">
        <f t="shared" si="2"/>
        <v>31.43</v>
      </c>
      <c r="G23" s="21">
        <v>17123.0</v>
      </c>
      <c r="H23" s="13">
        <f t="shared" si="3"/>
        <v>9172</v>
      </c>
      <c r="I23" s="21">
        <v>68.0</v>
      </c>
      <c r="J23" s="13">
        <f t="shared" si="4"/>
        <v>9104</v>
      </c>
      <c r="K23" s="21">
        <v>24.79</v>
      </c>
      <c r="L23" s="13">
        <f t="shared" si="5"/>
        <v>38346</v>
      </c>
      <c r="M23" s="22" t="s">
        <v>20</v>
      </c>
      <c r="O23" s="42"/>
      <c r="P23" s="40" t="s">
        <v>140</v>
      </c>
      <c r="Q23" s="40">
        <v>850.0</v>
      </c>
      <c r="S23" s="42"/>
      <c r="T23" s="40" t="s">
        <v>97</v>
      </c>
      <c r="U23" s="40">
        <v>2000.0</v>
      </c>
      <c r="W23" s="40" t="s">
        <v>101</v>
      </c>
      <c r="X23" s="40" t="s">
        <v>176</v>
      </c>
      <c r="Y23" s="40">
        <v>254.0</v>
      </c>
    </row>
    <row r="24">
      <c r="A24" s="12" t="s">
        <v>77</v>
      </c>
      <c r="B24" s="21">
        <v>39537.0</v>
      </c>
      <c r="C24" s="21">
        <v>3667.0</v>
      </c>
      <c r="D24" s="21">
        <v>5861.0</v>
      </c>
      <c r="E24" s="21">
        <f t="shared" si="1"/>
        <v>9528</v>
      </c>
      <c r="F24" s="35">
        <f t="shared" si="2"/>
        <v>24.1</v>
      </c>
      <c r="G24" s="21">
        <v>19154.0</v>
      </c>
      <c r="H24" s="13">
        <f t="shared" si="3"/>
        <v>10855</v>
      </c>
      <c r="I24" s="21">
        <v>788.0</v>
      </c>
      <c r="J24" s="13">
        <f t="shared" si="4"/>
        <v>10067</v>
      </c>
      <c r="K24" s="21">
        <v>82.92</v>
      </c>
      <c r="L24" s="13">
        <f t="shared" si="5"/>
        <v>39537</v>
      </c>
      <c r="M24" s="22" t="s">
        <v>20</v>
      </c>
      <c r="O24" s="42"/>
      <c r="P24" s="40" t="s">
        <v>82</v>
      </c>
      <c r="Q24" s="40">
        <v>90.0</v>
      </c>
      <c r="S24" s="40"/>
      <c r="T24" s="40" t="s">
        <v>138</v>
      </c>
      <c r="U24" s="40">
        <v>50.0</v>
      </c>
      <c r="W24" s="42"/>
      <c r="X24" s="40" t="s">
        <v>122</v>
      </c>
      <c r="Y24" s="40">
        <v>550.0</v>
      </c>
    </row>
    <row r="25">
      <c r="A25" s="12" t="s">
        <v>88</v>
      </c>
      <c r="B25" s="21">
        <v>30211.0</v>
      </c>
      <c r="C25" s="21">
        <v>4486.0</v>
      </c>
      <c r="D25" s="21">
        <v>3001.0</v>
      </c>
      <c r="E25" s="21">
        <f t="shared" si="1"/>
        <v>7487</v>
      </c>
      <c r="F25" s="35">
        <f t="shared" si="2"/>
        <v>24.78</v>
      </c>
      <c r="G25" s="21">
        <v>16642.0</v>
      </c>
      <c r="H25" s="13">
        <f t="shared" si="3"/>
        <v>6082</v>
      </c>
      <c r="I25" s="21">
        <v>152.0</v>
      </c>
      <c r="J25" s="13">
        <f t="shared" si="4"/>
        <v>5930</v>
      </c>
      <c r="K25" s="21">
        <v>0.0</v>
      </c>
      <c r="L25" s="13">
        <f t="shared" si="5"/>
        <v>30211</v>
      </c>
      <c r="M25" s="22" t="s">
        <v>20</v>
      </c>
      <c r="O25" s="40" t="s">
        <v>56</v>
      </c>
      <c r="P25" s="40" t="s">
        <v>241</v>
      </c>
      <c r="Q25" s="40">
        <v>2000.0</v>
      </c>
      <c r="S25" s="40"/>
      <c r="T25" s="40" t="s">
        <v>220</v>
      </c>
      <c r="U25" s="40">
        <v>60.0</v>
      </c>
      <c r="W25" s="42"/>
      <c r="X25" s="40" t="s">
        <v>138</v>
      </c>
      <c r="Y25" s="40">
        <v>47.0</v>
      </c>
    </row>
    <row r="26">
      <c r="A26" s="12" t="s">
        <v>98</v>
      </c>
      <c r="B26" s="21">
        <v>43366.0</v>
      </c>
      <c r="C26" s="21">
        <v>5371.0</v>
      </c>
      <c r="D26" s="21">
        <v>4580.0</v>
      </c>
      <c r="E26" s="21">
        <f t="shared" si="1"/>
        <v>9951</v>
      </c>
      <c r="F26" s="35">
        <f t="shared" si="2"/>
        <v>22.95</v>
      </c>
      <c r="G26" s="21">
        <v>18998.0</v>
      </c>
      <c r="H26" s="13">
        <f t="shared" si="3"/>
        <v>14417</v>
      </c>
      <c r="I26" s="21">
        <v>634.0</v>
      </c>
      <c r="J26" s="13">
        <f t="shared" si="4"/>
        <v>13783</v>
      </c>
      <c r="K26" s="21">
        <v>38.85</v>
      </c>
      <c r="L26" s="13">
        <f t="shared" si="5"/>
        <v>43366</v>
      </c>
      <c r="M26" s="22" t="s">
        <v>20</v>
      </c>
      <c r="O26" s="40"/>
      <c r="P26" s="40" t="s">
        <v>176</v>
      </c>
      <c r="Q26" s="40">
        <v>381.0</v>
      </c>
      <c r="S26" s="42"/>
      <c r="T26" s="40" t="s">
        <v>22</v>
      </c>
      <c r="U26" s="40">
        <v>337.0</v>
      </c>
      <c r="W26" s="42"/>
      <c r="X26" s="40" t="s">
        <v>38</v>
      </c>
      <c r="Y26" s="40">
        <v>400.0</v>
      </c>
    </row>
    <row r="27">
      <c r="A27" s="12" t="s">
        <v>25</v>
      </c>
      <c r="B27" s="21">
        <v>67975.0</v>
      </c>
      <c r="C27" s="21">
        <v>5070.0</v>
      </c>
      <c r="D27" s="21">
        <v>7053.0</v>
      </c>
      <c r="E27" s="21">
        <f t="shared" si="1"/>
        <v>12123</v>
      </c>
      <c r="F27" s="35">
        <f t="shared" si="2"/>
        <v>17.83</v>
      </c>
      <c r="G27" s="21">
        <v>40514.0</v>
      </c>
      <c r="H27" s="13">
        <f t="shared" si="3"/>
        <v>15338</v>
      </c>
      <c r="I27" s="21">
        <v>1342.0</v>
      </c>
      <c r="J27" s="13">
        <f t="shared" si="4"/>
        <v>13996</v>
      </c>
      <c r="K27" s="21">
        <v>89.23</v>
      </c>
      <c r="L27" s="13">
        <f t="shared" si="5"/>
        <v>67975</v>
      </c>
      <c r="M27" s="22" t="s">
        <v>20</v>
      </c>
      <c r="O27" s="40"/>
      <c r="P27" s="40" t="s">
        <v>122</v>
      </c>
      <c r="Q27" s="40">
        <v>880.0</v>
      </c>
      <c r="S27" s="40" t="s">
        <v>27</v>
      </c>
      <c r="T27" s="40" t="s">
        <v>140</v>
      </c>
      <c r="U27" s="40">
        <v>1060.0</v>
      </c>
      <c r="W27" s="42"/>
      <c r="X27" s="40" t="s">
        <v>176</v>
      </c>
      <c r="Y27" s="40">
        <v>265.0</v>
      </c>
    </row>
    <row r="28">
      <c r="A28" s="60" t="s">
        <v>49</v>
      </c>
      <c r="B28" s="61">
        <v>99267.0</v>
      </c>
      <c r="C28" s="61">
        <v>6545.0</v>
      </c>
      <c r="D28" s="61">
        <v>22149.0</v>
      </c>
      <c r="E28" s="23">
        <f t="shared" si="1"/>
        <v>28694</v>
      </c>
      <c r="F28" s="62">
        <f t="shared" si="2"/>
        <v>28.91</v>
      </c>
      <c r="G28" s="61">
        <v>50625.0</v>
      </c>
      <c r="H28" s="63">
        <f t="shared" si="3"/>
        <v>19948</v>
      </c>
      <c r="I28" s="61">
        <v>1122.0</v>
      </c>
      <c r="J28" s="63">
        <f t="shared" si="4"/>
        <v>18826</v>
      </c>
      <c r="K28" s="61">
        <v>16.53</v>
      </c>
      <c r="L28" s="63">
        <f t="shared" si="5"/>
        <v>99267</v>
      </c>
      <c r="M28" s="64" t="s">
        <v>245</v>
      </c>
      <c r="O28" s="40"/>
      <c r="P28" s="39" t="s">
        <v>138</v>
      </c>
      <c r="Q28" s="40">
        <v>52.0</v>
      </c>
      <c r="S28" s="42"/>
      <c r="T28" s="40" t="s">
        <v>176</v>
      </c>
      <c r="U28" s="40">
        <v>238.0</v>
      </c>
      <c r="W28" s="42"/>
      <c r="X28" s="40" t="s">
        <v>138</v>
      </c>
      <c r="Y28" s="40">
        <v>36.0</v>
      </c>
    </row>
    <row r="29">
      <c r="A29" s="65" t="s">
        <v>65</v>
      </c>
      <c r="B29" s="23">
        <v>34761.0</v>
      </c>
      <c r="C29" s="66">
        <v>3243.0</v>
      </c>
      <c r="D29" s="66">
        <v>4919.0</v>
      </c>
      <c r="E29" s="23">
        <f t="shared" si="1"/>
        <v>8162</v>
      </c>
      <c r="F29" s="67">
        <f t="shared" si="2"/>
        <v>23.48</v>
      </c>
      <c r="G29" s="66">
        <v>17206.0</v>
      </c>
      <c r="H29" s="68">
        <f t="shared" si="3"/>
        <v>9393</v>
      </c>
      <c r="I29" s="66">
        <v>214.0</v>
      </c>
      <c r="J29" s="68">
        <f t="shared" si="4"/>
        <v>9179</v>
      </c>
      <c r="K29" s="66">
        <v>3.11</v>
      </c>
      <c r="L29" s="68">
        <f t="shared" si="5"/>
        <v>34761</v>
      </c>
      <c r="M29" s="69" t="s">
        <v>20</v>
      </c>
      <c r="O29" s="40" t="s">
        <v>60</v>
      </c>
      <c r="P29" s="39" t="s">
        <v>176</v>
      </c>
      <c r="Q29" s="40">
        <v>249.0</v>
      </c>
      <c r="S29" s="42"/>
      <c r="T29" s="40" t="s">
        <v>122</v>
      </c>
      <c r="U29" s="40">
        <v>1017.0</v>
      </c>
      <c r="W29" s="42"/>
      <c r="X29" s="40" t="s">
        <v>122</v>
      </c>
      <c r="Y29" s="40">
        <v>474.0</v>
      </c>
    </row>
    <row r="30">
      <c r="A30" s="70" t="s">
        <v>101</v>
      </c>
      <c r="B30" s="23">
        <v>35612.0</v>
      </c>
      <c r="C30" s="23">
        <v>5858.0</v>
      </c>
      <c r="D30" s="23">
        <v>7749.0</v>
      </c>
      <c r="E30" s="23">
        <f t="shared" si="1"/>
        <v>13607</v>
      </c>
      <c r="F30" s="71">
        <f t="shared" si="2"/>
        <v>38.21</v>
      </c>
      <c r="G30" s="23">
        <v>13171.0</v>
      </c>
      <c r="H30" s="17">
        <f t="shared" si="3"/>
        <v>8834</v>
      </c>
      <c r="I30" s="23">
        <v>2031.0</v>
      </c>
      <c r="J30" s="17">
        <f t="shared" si="4"/>
        <v>6803</v>
      </c>
      <c r="K30" s="23">
        <v>8.99</v>
      </c>
      <c r="L30" s="17">
        <f t="shared" si="5"/>
        <v>35612</v>
      </c>
      <c r="M30" s="70" t="s">
        <v>20</v>
      </c>
      <c r="O30" s="40"/>
      <c r="P30" s="40" t="s">
        <v>138</v>
      </c>
      <c r="Q30" s="40">
        <v>77.0</v>
      </c>
      <c r="S30" s="40" t="s">
        <v>31</v>
      </c>
      <c r="T30" s="40" t="s">
        <v>176</v>
      </c>
      <c r="U30" s="40">
        <v>82.0</v>
      </c>
      <c r="W30" s="42"/>
      <c r="X30" s="40" t="s">
        <v>35</v>
      </c>
      <c r="Y30" s="40">
        <v>5.0</v>
      </c>
    </row>
    <row r="31">
      <c r="A31" s="70" t="s">
        <v>110</v>
      </c>
      <c r="B31" s="23"/>
      <c r="C31" s="23"/>
      <c r="D31" s="23"/>
      <c r="E31" s="23">
        <f t="shared" si="1"/>
        <v>0</v>
      </c>
      <c r="F31" s="71">
        <f t="shared" si="2"/>
        <v>0</v>
      </c>
      <c r="G31" s="23"/>
      <c r="H31" s="17">
        <f t="shared" si="3"/>
        <v>0</v>
      </c>
      <c r="I31" s="23"/>
      <c r="J31" s="17">
        <f t="shared" si="4"/>
        <v>0</v>
      </c>
      <c r="K31" s="23"/>
      <c r="L31" s="17">
        <f t="shared" si="5"/>
        <v>0</v>
      </c>
      <c r="M31" s="70"/>
      <c r="O31" s="40"/>
      <c r="P31" s="40" t="s">
        <v>246</v>
      </c>
      <c r="Q31" s="40">
        <v>200.0</v>
      </c>
      <c r="S31" s="40"/>
      <c r="T31" s="40" t="s">
        <v>138</v>
      </c>
      <c r="U31" s="40">
        <v>41.0</v>
      </c>
      <c r="W31" s="4" t="s">
        <v>110</v>
      </c>
      <c r="X31" s="15"/>
      <c r="Y31" s="15"/>
    </row>
    <row r="32">
      <c r="A32" s="28"/>
      <c r="B32" s="29">
        <f t="shared" ref="B32:C32" si="6">SUM(B2:B31)</f>
        <v>1850520</v>
      </c>
      <c r="C32" s="29">
        <f t="shared" si="6"/>
        <v>226283</v>
      </c>
      <c r="D32" s="29">
        <f t="shared" ref="D32:E32" si="7">sum(D2:D31)</f>
        <v>359471</v>
      </c>
      <c r="E32" s="29">
        <f t="shared" si="7"/>
        <v>585754</v>
      </c>
      <c r="F32" s="29">
        <f t="shared" si="2"/>
        <v>31.65</v>
      </c>
      <c r="G32" s="29">
        <f t="shared" ref="G32:K32" si="8">SUM(G2:G29)</f>
        <v>871759</v>
      </c>
      <c r="H32" s="29">
        <f t="shared" si="8"/>
        <v>371002</v>
      </c>
      <c r="I32" s="29">
        <f t="shared" si="8"/>
        <v>49520</v>
      </c>
      <c r="J32" s="29">
        <f t="shared" si="8"/>
        <v>321482</v>
      </c>
      <c r="K32" s="29">
        <f t="shared" si="8"/>
        <v>1258.98</v>
      </c>
      <c r="L32" s="29">
        <f>SUM(L2:L31)</f>
        <v>1850520</v>
      </c>
      <c r="M32" s="29"/>
      <c r="O32" s="42"/>
      <c r="P32" s="40" t="s">
        <v>247</v>
      </c>
      <c r="Q32" s="40">
        <v>200.0</v>
      </c>
      <c r="S32" s="42"/>
      <c r="T32" s="40" t="s">
        <v>122</v>
      </c>
      <c r="U32" s="40">
        <v>365.0</v>
      </c>
      <c r="W32" s="15"/>
      <c r="X32" s="15"/>
      <c r="Y32" s="15"/>
    </row>
    <row r="33">
      <c r="O33" s="40" t="s">
        <v>64</v>
      </c>
      <c r="P33" s="40" t="s">
        <v>97</v>
      </c>
      <c r="Q33" s="40">
        <v>2000.0</v>
      </c>
      <c r="S33" s="42"/>
      <c r="T33" s="40" t="s">
        <v>248</v>
      </c>
      <c r="U33" s="40">
        <v>80.0</v>
      </c>
      <c r="W33" s="15"/>
      <c r="X33" s="15"/>
      <c r="Y33" s="15"/>
    </row>
    <row r="34">
      <c r="O34" s="40"/>
      <c r="P34" s="40" t="s">
        <v>249</v>
      </c>
      <c r="Q34" s="40">
        <v>120.0</v>
      </c>
      <c r="S34" s="39" t="s">
        <v>46</v>
      </c>
      <c r="T34" s="40" t="s">
        <v>176</v>
      </c>
      <c r="U34" s="40">
        <v>155.0</v>
      </c>
      <c r="W34" s="15"/>
      <c r="X34" s="15"/>
      <c r="Y34" s="15"/>
    </row>
    <row r="35">
      <c r="E35" s="14">
        <f>(B32-E32)</f>
        <v>1264766</v>
      </c>
      <c r="O35" s="40"/>
      <c r="P35" s="40" t="s">
        <v>250</v>
      </c>
      <c r="Q35" s="40">
        <v>624.0</v>
      </c>
      <c r="S35" s="40"/>
      <c r="T35" s="40" t="s">
        <v>122</v>
      </c>
      <c r="U35" s="40">
        <v>535.0</v>
      </c>
      <c r="W35" s="15"/>
      <c r="X35" s="15"/>
      <c r="Y35" s="15"/>
    </row>
    <row r="36">
      <c r="O36" s="40"/>
      <c r="P36" s="40" t="s">
        <v>176</v>
      </c>
      <c r="Q36" s="40">
        <v>282.0</v>
      </c>
      <c r="S36" s="42"/>
      <c r="T36" s="40" t="s">
        <v>218</v>
      </c>
      <c r="U36" s="40">
        <v>111.0</v>
      </c>
    </row>
    <row r="37">
      <c r="O37" s="40"/>
      <c r="P37" s="40" t="s">
        <v>138</v>
      </c>
      <c r="Q37" s="40">
        <v>51.0</v>
      </c>
      <c r="S37" s="42"/>
      <c r="T37" s="40" t="s">
        <v>220</v>
      </c>
      <c r="U37" s="40">
        <v>5.0</v>
      </c>
    </row>
    <row r="38">
      <c r="O38" s="42"/>
      <c r="P38" s="40" t="s">
        <v>122</v>
      </c>
      <c r="Q38" s="40">
        <v>850.0</v>
      </c>
      <c r="S38" s="42"/>
      <c r="T38" s="40" t="s">
        <v>82</v>
      </c>
      <c r="U38" s="40">
        <v>40.0</v>
      </c>
    </row>
    <row r="39">
      <c r="E39" s="14">
        <f>B32-E35</f>
        <v>585754</v>
      </c>
      <c r="O39" s="42"/>
      <c r="P39" s="40" t="s">
        <v>251</v>
      </c>
      <c r="Q39" s="40">
        <v>550.0</v>
      </c>
      <c r="S39" s="42"/>
      <c r="T39" s="40" t="s">
        <v>220</v>
      </c>
      <c r="U39" s="40">
        <v>10.0</v>
      </c>
    </row>
    <row r="40">
      <c r="O40" s="42"/>
      <c r="P40" s="40" t="s">
        <v>252</v>
      </c>
      <c r="Q40" s="40">
        <v>350.0</v>
      </c>
      <c r="S40" s="40" t="s">
        <v>51</v>
      </c>
      <c r="T40" s="40" t="s">
        <v>253</v>
      </c>
      <c r="U40" s="40">
        <v>2600.0</v>
      </c>
    </row>
    <row r="41">
      <c r="O41" s="39" t="s">
        <v>68</v>
      </c>
      <c r="P41" s="40" t="s">
        <v>140</v>
      </c>
      <c r="Q41" s="40">
        <v>210.0</v>
      </c>
      <c r="S41" s="42"/>
      <c r="T41" s="40" t="s">
        <v>141</v>
      </c>
      <c r="U41" s="40">
        <v>500.0</v>
      </c>
    </row>
    <row r="42">
      <c r="O42" s="40"/>
      <c r="P42" s="40" t="s">
        <v>138</v>
      </c>
      <c r="Q42" s="40">
        <v>51.0</v>
      </c>
      <c r="S42" s="42"/>
      <c r="T42" s="40" t="s">
        <v>138</v>
      </c>
      <c r="U42" s="40">
        <v>51.0</v>
      </c>
    </row>
    <row r="43">
      <c r="O43" s="40"/>
      <c r="P43" s="40" t="s">
        <v>223</v>
      </c>
      <c r="Q43" s="40">
        <v>105.0</v>
      </c>
      <c r="S43" s="42"/>
      <c r="T43" s="40" t="s">
        <v>176</v>
      </c>
      <c r="U43" s="40">
        <v>129.0</v>
      </c>
    </row>
    <row r="44">
      <c r="O44" s="40"/>
      <c r="P44" s="40" t="s">
        <v>97</v>
      </c>
      <c r="Q44" s="40">
        <v>2000.0</v>
      </c>
      <c r="S44" s="42"/>
      <c r="T44" s="40" t="s">
        <v>220</v>
      </c>
      <c r="U44" s="40">
        <v>55.0</v>
      </c>
    </row>
    <row r="45">
      <c r="O45" s="40"/>
      <c r="P45" s="40" t="s">
        <v>38</v>
      </c>
      <c r="Q45" s="40">
        <v>400.0</v>
      </c>
      <c r="S45" s="40" t="s">
        <v>57</v>
      </c>
      <c r="T45" s="40" t="s">
        <v>128</v>
      </c>
      <c r="U45" s="40">
        <v>50.0</v>
      </c>
    </row>
    <row r="46">
      <c r="O46" s="40"/>
      <c r="P46" s="40" t="s">
        <v>254</v>
      </c>
      <c r="Q46" s="40">
        <v>20.0</v>
      </c>
      <c r="S46" s="40"/>
      <c r="T46" s="40" t="s">
        <v>176</v>
      </c>
      <c r="U46" s="40">
        <v>214.0</v>
      </c>
    </row>
    <row r="47">
      <c r="S47" s="42"/>
      <c r="T47" s="40" t="s">
        <v>138</v>
      </c>
      <c r="U47" s="40">
        <v>82.0</v>
      </c>
    </row>
    <row r="48">
      <c r="S48" s="40"/>
      <c r="T48" s="40" t="s">
        <v>122</v>
      </c>
      <c r="U48" s="40">
        <v>653.0</v>
      </c>
    </row>
    <row r="49">
      <c r="S49" s="40"/>
      <c r="T49" s="40" t="s">
        <v>255</v>
      </c>
      <c r="U49" s="40">
        <v>400.0</v>
      </c>
    </row>
    <row r="50">
      <c r="S50" s="40" t="s">
        <v>62</v>
      </c>
      <c r="T50" s="40" t="s">
        <v>38</v>
      </c>
      <c r="U50" s="40">
        <v>400.0</v>
      </c>
    </row>
    <row r="51">
      <c r="S51" s="42"/>
      <c r="T51" s="40" t="s">
        <v>22</v>
      </c>
      <c r="U51" s="40">
        <v>1342.0</v>
      </c>
    </row>
  </sheetData>
  <drawing r:id="rId1"/>
</worksheet>
</file>